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kitus\Desktop\"/>
    </mc:Choice>
  </mc:AlternateContent>
  <xr:revisionPtr revIDLastSave="0" documentId="13_ncr:1_{C9ECAAFA-F026-4D3E-B8B5-0026207CDE96}" xr6:coauthVersionLast="47" xr6:coauthVersionMax="47" xr10:uidLastSave="{00000000-0000-0000-0000-000000000000}"/>
  <bookViews>
    <workbookView xWindow="-120" yWindow="-120" windowWidth="29040" windowHeight="16440" firstSheet="1" activeTab="4" xr2:uid="{FAEB472D-3D2F-4518-91E2-3B0D93488A9B}"/>
  </bookViews>
  <sheets>
    <sheet name="Air_Freight_Index" sheetId="2" r:id="rId1"/>
    <sheet name="Deep_Sea_Freight_Index" sheetId="1" r:id="rId2"/>
    <sheet name="Supply_Chain_Index_Comparison" sheetId="3" r:id="rId3"/>
    <sheet name="Pivots" sheetId="5" r:id="rId4"/>
    <sheet name="Dasboard" sheetId="6" r:id="rId5"/>
  </sheets>
  <definedNames>
    <definedName name="_xlchart.v1.0" hidden="1">Dasboard!$R$8:$R$12</definedName>
    <definedName name="_xlchart.v1.1" hidden="1">Dasboard!$T$7</definedName>
    <definedName name="_xlchart.v1.2" hidden="1">Dasboard!$T$8:$T$12</definedName>
    <definedName name="_xlchart.v1.3" hidden="1">Dasboard!$R$8:$R$12</definedName>
    <definedName name="_xlchart.v1.4" hidden="1">Dasboard!$T$7</definedName>
    <definedName name="_xlchart.v1.5" hidden="1">Dasboard!$T$8:$T$12</definedName>
    <definedName name="_xlcn.WorksheetConnection_ExcelProject_1.xlsxSupply_Chain_Index_Comparison1" hidden="1">Supply_Chain_Index_Comparison[]</definedName>
    <definedName name="ExternalData_1" localSheetId="1" hidden="1">Deep_Sea_Freight_Index!$A$1:$B$454</definedName>
    <definedName name="ExternalData_2" localSheetId="0" hidden="1">Air_Freight_Index!$A$1:$B$268</definedName>
    <definedName name="ExternalData_2" localSheetId="2" hidden="1">Supply_Chain_Index_Comparison!$A$1:$C$268</definedName>
    <definedName name="FreightData">Supply_Chain_Index_Comparison[]</definedName>
    <definedName name="Slicer_Date__Year">#N/A</definedName>
  </definedNames>
  <calcPr calcId="191029"/>
  <pivotCaches>
    <pivotCache cacheId="1698" r:id="rId6"/>
    <pivotCache cacheId="1731" r:id="rId7"/>
    <pivotCache cacheId="1734" r:id="rId8"/>
    <pivotCache cacheId="1737" r:id="rId9"/>
    <pivotCache cacheId="1740" r:id="rId10"/>
    <pivotCache cacheId="1743" r:id="rId11"/>
    <pivotCache cacheId="1746" r:id="rId12"/>
    <pivotCache cacheId="1749" r:id="rId13"/>
    <pivotCache cacheId="1752" r:id="rId14"/>
    <pivotCache cacheId="1755" r:id="rId15"/>
  </pivotCaches>
  <extLst>
    <ext xmlns:x14="http://schemas.microsoft.com/office/spreadsheetml/2009/9/main" uri="{876F7934-8845-4945-9796-88D515C7AA90}">
      <x14:pivotCaches>
        <pivotCache cacheId="16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_Chain_Index_Comparison" name="Supply_Chain_Index_Comparison" connection="WorksheetConnection_Excel Project_1.xlsx!Supply_Chain_Index_Comparison"/>
        </x15:modelTables>
        <x15:extLst>
          <ext xmlns:x16="http://schemas.microsoft.com/office/spreadsheetml/2014/11/main" uri="{9835A34E-60A6-4A7C-AAB8-D5F71C897F49}">
            <x16:modelTimeGroupings>
              <x16:modelTimeGrouping tableName="Supply_Chain_Index_Comparis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2" i="6" l="1"/>
  <c r="S6" i="6"/>
  <c r="T11" i="6" s="1"/>
  <c r="T12" i="6" s="1"/>
  <c r="T10" i="6"/>
  <c r="T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16BB20-8D6E-4C62-8DF6-EC891310E4E8}" keepAlive="1" name="Query - Air_Freight_Index" description="Connection to the 'Air_Freight_Index' query in the workbook." type="5" refreshedVersion="8" background="1" saveData="1">
    <dbPr connection="Provider=Microsoft.Mashup.OleDb.1;Data Source=$Workbook$;Location=Air_Freight_Index;Extended Properties=&quot;&quot;" command="SELECT * FROM [Air_Freight_Index]"/>
  </connection>
  <connection id="2" xr16:uid="{F75C5DCD-8DCE-4B50-85D4-EB74E728D504}" keepAlive="1" name="Query - Deep_Sea_Freight_Index" description="Connection to the 'Deep_Sea_Freight_Index' query in the workbook." type="5" refreshedVersion="8" background="1" saveData="1">
    <dbPr connection="Provider=Microsoft.Mashup.OleDb.1;Data Source=$Workbook$;Location=Deep_Sea_Freight_Index;Extended Properties=&quot;&quot;" command="SELECT * FROM [Deep_Sea_Freight_Index]"/>
  </connection>
  <connection id="3" xr16:uid="{CBC84341-C477-4AEC-A4DF-CDFF1D62E4E6}" keepAlive="1" name="Query - Supply_Chain_Index_Comparison" description="Connection to the 'Supply_Chain_Index_Comparison' query in the workbook." type="5" refreshedVersion="0" background="1">
    <dbPr connection="Provider=Microsoft.Mashup.OleDb.1;Data Source=$Workbook$;Location=Supply_Chain_Index_Comparison;Extended Properties=&quot;&quot;" command="SELECT * FROM [Supply_Chain_Index_Comparison]"/>
  </connection>
  <connection id="4" xr16:uid="{A29467AC-E328-4412-A930-C69AAEE67A30}" keepAlive="1" name="Query - Supply_Chain_Index_Comparison1" description="Connection to the 'Supply_Chain_Index_Comparison' query in the workbook." type="5" refreshedVersion="8" background="1" saveData="1">
    <dbPr connection="Provider=Microsoft.Mashup.OleDb.1;Data Source=$Workbook$;Location=Supply_Chain_Index_Comparison;Extended Properties=&quot;&quot;" command="SELECT * FROM [Supply_Chain_Index_Comparison]"/>
  </connection>
  <connection id="5" xr16:uid="{3F43108D-13FF-4DDB-81EC-CB5E287B9D6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7AF5583A-DB03-4784-A750-8B6CD7238F5E}" name="WorksheetConnection_Excel Project_1.xlsx!Supply_Chain_Index_Comparison" type="102" refreshedVersion="8" minRefreshableVersion="5">
    <extLst>
      <ext xmlns:x15="http://schemas.microsoft.com/office/spreadsheetml/2010/11/main" uri="{DE250136-89BD-433C-8126-D09CA5730AF9}">
        <x15:connection id="Supply_Chain_Index_Comparison">
          <x15:rangePr sourceName="_xlcn.WorksheetConnection_ExcelProject_1.xlsxSupply_Chain_Index_Comparison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MDX" minSupportedVersion="120000" copy="1" pasteAll="1" pasteValues="1" merge="1" splitFirst="1" rowColShift="1" clearFormats="1" clearComments="1" assign="1" coerce="1"/>
  </metadataTypes>
  <metadataStrings count="2">
    <s v="ThisWorkbookDataModel"/>
    <s v="{[Supply_Chain_Index_Comparison].[Date].[All]}"/>
  </metadataStrings>
  <mdxMetadata count="1">
    <mdx n="0" f="s">
      <ms ns="1" c="0"/>
    </mdx>
  </mdxMetadata>
  <valueMetadata count="1">
    <bk>
      <rc t="1" v="0"/>
    </bk>
  </valueMetadata>
</metadata>
</file>

<file path=xl/sharedStrings.xml><?xml version="1.0" encoding="utf-8"?>
<sst xmlns="http://schemas.openxmlformats.org/spreadsheetml/2006/main" count="49" uniqueCount="42">
  <si>
    <t>Date</t>
  </si>
  <si>
    <t>Air_Freight_Index</t>
  </si>
  <si>
    <t>Sea_Freight_Index</t>
  </si>
  <si>
    <t>Grand Total</t>
  </si>
  <si>
    <t>Supply_Stres_Ratio</t>
  </si>
  <si>
    <t>Sea Freight Index</t>
  </si>
  <si>
    <t>Air Freight Index</t>
  </si>
  <si>
    <t>Year</t>
  </si>
  <si>
    <t>Monthly Change (Air)</t>
  </si>
  <si>
    <t>Monthly Change (Sea)</t>
  </si>
  <si>
    <t>Sea Freight Index (Latest)</t>
  </si>
  <si>
    <t>Air  Freight Index (Latest)</t>
  </si>
  <si>
    <t>vs 2019 Baseline</t>
  </si>
  <si>
    <t>Label</t>
  </si>
  <si>
    <t>Revenue</t>
  </si>
  <si>
    <t>Freight Cost (Base)</t>
  </si>
  <si>
    <t>Other Costs</t>
  </si>
  <si>
    <t>Freight Increase %</t>
  </si>
  <si>
    <t>Before Shock</t>
  </si>
  <si>
    <t>After Shock</t>
  </si>
  <si>
    <t>Sea vs Air Cost Gap</t>
  </si>
  <si>
    <t>Blended Freight Inflation</t>
  </si>
  <si>
    <t>Freight Increase Impact</t>
  </si>
  <si>
    <t>Final Profit</t>
  </si>
  <si>
    <t>Row Labels</t>
  </si>
  <si>
    <t>Jan</t>
  </si>
  <si>
    <t>Feb</t>
  </si>
  <si>
    <t>Mar</t>
  </si>
  <si>
    <t>Apr</t>
  </si>
  <si>
    <t>May</t>
  </si>
  <si>
    <t>Jun</t>
  </si>
  <si>
    <t>Jul</t>
  </si>
  <si>
    <t>Aug</t>
  </si>
  <si>
    <t>Sep</t>
  </si>
  <si>
    <t>Oct</t>
  </si>
  <si>
    <t>Nov</t>
  </si>
  <si>
    <t>Dec</t>
  </si>
  <si>
    <t>Column Labels</t>
  </si>
  <si>
    <t>All</t>
  </si>
  <si>
    <t>Supply Stress Ratio</t>
  </si>
  <si>
    <t>Global Freight Cost Shock &amp; Profitability Impact Dashboard</t>
  </si>
  <si>
    <t>Profit Impact of Freight Cost Surge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</si>
</sst>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0.00%;\-0.00%;0.00%"/>
    <numFmt numFmtId="166" formatCode="0.0"/>
  </numFmts>
  <fonts count="11" x14ac:knownFonts="1">
    <font>
      <sz val="11"/>
      <color theme="1"/>
      <name val="Calibri"/>
      <family val="2"/>
      <scheme val="minor"/>
    </font>
    <font>
      <sz val="11"/>
      <color theme="1"/>
      <name val="Calibri"/>
      <family val="2"/>
      <scheme val="minor"/>
    </font>
    <font>
      <sz val="10"/>
      <color theme="1"/>
      <name val="Segoe UI"/>
      <family val="2"/>
    </font>
    <font>
      <sz val="11"/>
      <color theme="1"/>
      <name val="Segoe UI"/>
      <family val="2"/>
    </font>
    <font>
      <b/>
      <sz val="11"/>
      <color theme="1"/>
      <name val="Segoe UI"/>
      <family val="2"/>
    </font>
    <font>
      <b/>
      <sz val="12"/>
      <color theme="1"/>
      <name val="Segoe UI"/>
      <family val="2"/>
    </font>
    <font>
      <sz val="8"/>
      <name val="Calibri"/>
      <family val="2"/>
      <scheme val="minor"/>
    </font>
    <font>
      <b/>
      <sz val="10"/>
      <color theme="1"/>
      <name val="Segoe UI"/>
    </font>
    <font>
      <b/>
      <sz val="11"/>
      <color theme="1"/>
      <name val="Segoe UI"/>
    </font>
    <font>
      <b/>
      <sz val="14"/>
      <color theme="0"/>
      <name val="Segoe UI"/>
      <family val="2"/>
    </font>
    <font>
      <b/>
      <sz val="16"/>
      <color theme="0"/>
      <name val="Segoe UI"/>
      <family val="2"/>
    </font>
  </fonts>
  <fills count="6">
    <fill>
      <patternFill patternType="none"/>
    </fill>
    <fill>
      <patternFill patternType="gray125"/>
    </fill>
    <fill>
      <patternFill patternType="solid">
        <fgColor rgb="FFB0E4CC"/>
        <bgColor indexed="64"/>
      </patternFill>
    </fill>
    <fill>
      <patternFill patternType="solid">
        <fgColor rgb="FF285A48"/>
        <bgColor indexed="64"/>
      </patternFill>
    </fill>
    <fill>
      <patternFill patternType="solid">
        <fgColor theme="0"/>
        <bgColor indexed="64"/>
      </patternFill>
    </fill>
    <fill>
      <patternFill patternType="solid">
        <fgColor rgb="FF091413"/>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applyAlignment="1">
      <alignment horizontal="center" vertical="center" wrapText="1"/>
    </xf>
    <xf numFmtId="0" fontId="0" fillId="0" borderId="0" xfId="0" applyAlignment="1">
      <alignment horizontal="center" vertical="center" wrapText="1"/>
    </xf>
    <xf numFmtId="2" fontId="0" fillId="0" borderId="0" xfId="0" applyNumberFormat="1" applyAlignment="1">
      <alignment horizontal="center" vertical="center"/>
    </xf>
    <xf numFmtId="1" fontId="5" fillId="2" borderId="1" xfId="0" applyNumberFormat="1" applyFont="1" applyFill="1" applyBorder="1" applyAlignment="1">
      <alignment horizontal="center" vertical="center"/>
    </xf>
    <xf numFmtId="1" fontId="4" fillId="2" borderId="1" xfId="0" applyNumberFormat="1" applyFont="1" applyFill="1" applyBorder="1" applyAlignment="1">
      <alignment horizontal="center" vertical="center"/>
    </xf>
    <xf numFmtId="1" fontId="4" fillId="2" borderId="7" xfId="1" applyNumberFormat="1" applyFont="1" applyFill="1" applyBorder="1" applyAlignment="1">
      <alignment horizontal="center" vertical="center"/>
    </xf>
    <xf numFmtId="2" fontId="4" fillId="2" borderId="1" xfId="1" applyNumberFormat="1" applyFont="1" applyFill="1" applyBorder="1" applyAlignment="1">
      <alignment horizontal="center" vertical="center"/>
    </xf>
    <xf numFmtId="2" fontId="0" fillId="0" borderId="0" xfId="0" applyNumberFormat="1"/>
    <xf numFmtId="0" fontId="0" fillId="0" borderId="0" xfId="0" applyAlignment="1">
      <alignment horizontal="center"/>
    </xf>
    <xf numFmtId="2" fontId="0" fillId="0" borderId="0" xfId="0" pivotButton="1" applyNumberFormat="1"/>
    <xf numFmtId="2" fontId="0" fillId="0" borderId="11" xfId="0" pivotButton="1" applyNumberFormat="1" applyBorder="1" applyAlignment="1">
      <alignment horizontal="center"/>
    </xf>
    <xf numFmtId="2" fontId="0" fillId="0" borderId="11" xfId="0" applyNumberFormat="1" applyBorder="1" applyAlignment="1">
      <alignment horizontal="center"/>
    </xf>
    <xf numFmtId="1" fontId="0" fillId="0" borderId="11" xfId="0" pivotButton="1" applyNumberFormat="1" applyBorder="1" applyAlignment="1">
      <alignment horizontal="center"/>
    </xf>
    <xf numFmtId="1" fontId="0" fillId="0" borderId="11" xfId="0" applyNumberFormat="1" applyBorder="1" applyAlignment="1">
      <alignment horizontal="center"/>
    </xf>
    <xf numFmtId="10" fontId="5" fillId="2" borderId="7" xfId="2" applyNumberFormat="1" applyFont="1" applyFill="1" applyBorder="1" applyAlignment="1">
      <alignment horizontal="center" vertical="center"/>
    </xf>
    <xf numFmtId="10" fontId="5" fillId="2" borderId="8" xfId="2" applyNumberFormat="1" applyFont="1" applyFill="1" applyBorder="1" applyAlignment="1">
      <alignment horizontal="center" vertical="center"/>
    </xf>
    <xf numFmtId="0" fontId="0" fillId="4" borderId="0" xfId="0" applyFill="1"/>
    <xf numFmtId="0" fontId="2" fillId="4" borderId="0" xfId="0" applyFont="1" applyFill="1" applyAlignment="1">
      <alignment horizontal="center" vertical="center" wrapText="1"/>
    </xf>
    <xf numFmtId="1" fontId="8" fillId="4" borderId="1" xfId="0" applyNumberFormat="1" applyFont="1" applyFill="1" applyBorder="1" applyAlignment="1">
      <alignment horizontal="center" vertical="center"/>
    </xf>
    <xf numFmtId="166" fontId="4" fillId="4" borderId="0" xfId="0" applyNumberFormat="1" applyFont="1" applyFill="1" applyAlignment="1">
      <alignment horizontal="center" vertical="center"/>
    </xf>
    <xf numFmtId="9" fontId="8"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0" fontId="4" fillId="4" borderId="0" xfId="0" applyFont="1" applyFill="1" applyAlignment="1">
      <alignment horizontal="center" vertical="center"/>
    </xf>
    <xf numFmtId="10" fontId="7" fillId="4" borderId="1" xfId="0" applyNumberFormat="1" applyFont="1" applyFill="1" applyBorder="1" applyAlignment="1">
      <alignment horizontal="center" vertical="center" wrapText="1"/>
    </xf>
    <xf numFmtId="10" fontId="7" fillId="4" borderId="2" xfId="0" applyNumberFormat="1" applyFont="1" applyFill="1" applyBorder="1" applyAlignment="1">
      <alignment horizontal="center" vertical="center" wrapText="1"/>
    </xf>
    <xf numFmtId="1" fontId="5" fillId="4" borderId="9" xfId="0" applyNumberFormat="1" applyFont="1" applyFill="1" applyBorder="1" applyAlignment="1">
      <alignment horizontal="center" vertical="center"/>
    </xf>
    <xf numFmtId="1" fontId="5" fillId="4" borderId="3" xfId="0" applyNumberFormat="1" applyFont="1" applyFill="1" applyBorder="1" applyAlignment="1">
      <alignment horizontal="center" vertical="center"/>
    </xf>
    <xf numFmtId="1" fontId="5" fillId="4" borderId="4" xfId="0" applyNumberFormat="1" applyFont="1" applyFill="1" applyBorder="1" applyAlignment="1">
      <alignment horizontal="center" vertical="center"/>
    </xf>
    <xf numFmtId="1" fontId="4" fillId="4" borderId="10" xfId="0" applyNumberFormat="1" applyFont="1" applyFill="1" applyBorder="1" applyAlignment="1">
      <alignment horizontal="center" vertical="center"/>
    </xf>
    <xf numFmtId="1" fontId="3" fillId="4" borderId="5" xfId="0" applyNumberFormat="1" applyFont="1" applyFill="1" applyBorder="1" applyAlignment="1">
      <alignment horizontal="center" vertical="center"/>
    </xf>
    <xf numFmtId="1" fontId="3" fillId="4" borderId="6" xfId="0" applyNumberFormat="1" applyFont="1" applyFill="1" applyBorder="1" applyAlignment="1">
      <alignment horizontal="center" vertical="center"/>
    </xf>
    <xf numFmtId="2" fontId="3" fillId="4" borderId="6" xfId="0" applyNumberFormat="1" applyFont="1" applyFill="1" applyBorder="1" applyAlignment="1">
      <alignment horizontal="center" vertical="center"/>
    </xf>
    <xf numFmtId="0" fontId="10" fillId="5" borderId="0" xfId="0" applyFont="1" applyFill="1" applyAlignment="1">
      <alignment horizontal="center"/>
    </xf>
    <xf numFmtId="0" fontId="9" fillId="3" borderId="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0" xfId="0" applyFont="1" applyFill="1" applyAlignment="1">
      <alignment horizontal="center" vertical="center" wrapText="1"/>
    </xf>
  </cellXfs>
  <cellStyles count="3">
    <cellStyle name="Comma" xfId="1" builtinId="3"/>
    <cellStyle name="Normal" xfId="0" builtinId="0"/>
    <cellStyle name="Percent" xfId="2" builtinId="5"/>
  </cellStyles>
  <dxfs count="269">
    <dxf>
      <font>
        <sz val="11"/>
      </font>
    </dxf>
    <dxf>
      <font>
        <sz val="11"/>
      </font>
    </dxf>
    <dxf>
      <font>
        <sz val="12"/>
      </font>
    </dxf>
    <dxf>
      <font>
        <sz val="11"/>
      </font>
    </dxf>
    <dxf>
      <font>
        <sz val="11"/>
      </font>
    </dxf>
    <dxf>
      <font>
        <sz val="12"/>
      </font>
    </dxf>
    <dxf>
      <font>
        <sz val="11"/>
      </font>
    </dxf>
    <dxf>
      <font>
        <sz val="11"/>
      </font>
    </dxf>
    <dxf>
      <font>
        <sz val="12"/>
      </font>
    </dxf>
    <dxf>
      <font>
        <sz val="11"/>
      </font>
    </dxf>
    <dxf>
      <font>
        <sz val="11"/>
      </font>
    </dxf>
    <dxf>
      <font>
        <sz val="12"/>
      </font>
    </dxf>
    <dxf>
      <font>
        <sz val="11"/>
      </font>
    </dxf>
    <dxf>
      <font>
        <sz val="11"/>
      </font>
    </dxf>
    <dxf>
      <font>
        <sz val="12"/>
      </font>
    </dxf>
    <dxf>
      <font>
        <sz val="11"/>
      </font>
    </dxf>
    <dxf>
      <font>
        <sz val="11"/>
      </font>
    </dxf>
    <dxf>
      <font>
        <sz val="12"/>
      </font>
    </dxf>
    <dxf>
      <font>
        <sz val="11"/>
      </font>
    </dxf>
    <dxf>
      <font>
        <sz val="11"/>
      </font>
    </dxf>
    <dxf>
      <font>
        <sz val="12"/>
      </font>
    </dxf>
    <dxf>
      <font>
        <sz val="11"/>
      </font>
    </dxf>
    <dxf>
      <font>
        <sz val="11"/>
      </font>
    </dxf>
    <dxf>
      <font>
        <sz val="12"/>
      </font>
    </dxf>
    <dxf>
      <font>
        <sz val="12"/>
      </font>
    </dxf>
    <dxf>
      <font>
        <sz val="11"/>
      </font>
    </dxf>
    <dxf>
      <font>
        <sz val="12"/>
      </font>
    </dxf>
    <dxf>
      <font>
        <sz val="11"/>
      </font>
    </dxf>
    <dxf>
      <font>
        <sz val="12"/>
      </font>
    </dxf>
    <dxf>
      <font>
        <sz val="11"/>
      </font>
    </dxf>
    <dxf>
      <font>
        <sz val="12"/>
      </font>
    </dxf>
    <dxf>
      <font>
        <sz val="11"/>
      </font>
    </dxf>
    <dxf>
      <font>
        <sz val="12"/>
      </font>
    </dxf>
    <dxf>
      <font>
        <sz val="11"/>
      </font>
    </dxf>
    <dxf>
      <font>
        <sz val="12"/>
      </font>
    </dxf>
    <dxf>
      <font>
        <sz val="11"/>
      </font>
    </dxf>
    <dxf>
      <font>
        <sz val="12"/>
      </font>
    </dxf>
    <dxf>
      <font>
        <sz val="11"/>
      </font>
    </dxf>
    <dxf>
      <font>
        <sz val="12"/>
      </font>
    </dxf>
    <dxf>
      <font>
        <sz val="11"/>
      </font>
    </dxf>
    <dxf>
      <font>
        <sz val="11"/>
      </font>
    </dxf>
    <dxf>
      <font>
        <sz val="11"/>
      </font>
    </dxf>
    <dxf>
      <font>
        <sz val="11"/>
      </font>
    </dxf>
    <dxf>
      <font>
        <sz val="10"/>
      </font>
    </dxf>
    <dxf>
      <font>
        <sz val="11"/>
      </font>
    </dxf>
    <dxf>
      <font>
        <sz val="11"/>
      </font>
    </dxf>
    <dxf>
      <font>
        <sz val="10"/>
      </font>
    </dxf>
    <dxf>
      <font>
        <sz val="11"/>
      </font>
    </dxf>
    <dxf>
      <font>
        <sz val="11"/>
      </font>
    </dxf>
    <dxf>
      <font>
        <sz val="11"/>
      </font>
    </dxf>
    <dxf>
      <border diagonalUp="0" diagonalDown="0">
        <left/>
        <right/>
        <top/>
        <bottom/>
        <vertical/>
        <horizontal/>
      </border>
    </dxf>
    <dxf>
      <font>
        <b/>
        <i val="0"/>
        <color theme="1"/>
        <name val="Segoe UI"/>
        <family val="2"/>
        <scheme val="none"/>
      </font>
      <fill>
        <patternFill>
          <bgColor theme="2"/>
        </patternFill>
      </fill>
      <border diagonalUp="0" diagonalDown="0">
        <left/>
        <right/>
        <top/>
        <bottom/>
        <vertical/>
        <horizontal/>
      </border>
    </dxf>
    <dxf>
      <fill>
        <patternFill>
          <bgColor rgb="FFFEBEBE"/>
        </patternFill>
      </fill>
    </dxf>
    <dxf>
      <fill>
        <patternFill>
          <bgColor theme="9" tint="0.59996337778862885"/>
        </patternFill>
      </fill>
    </dxf>
    <dxf>
      <fill>
        <patternFill>
          <bgColor rgb="FFFEBEBE"/>
        </patternFill>
      </fill>
    </dxf>
    <dxf>
      <fill>
        <patternFill>
          <bgColor theme="9" tint="0.59996337778862885"/>
        </patternFill>
      </fill>
    </dxf>
    <dxf>
      <fill>
        <patternFill>
          <bgColor rgb="FFB0E4CC"/>
        </patternFill>
      </fill>
    </dxf>
    <dxf>
      <fill>
        <patternFill>
          <bgColor rgb="FFB0E4CC"/>
        </patternFill>
      </fill>
    </dxf>
    <dxf>
      <fill>
        <patternFill>
          <bgColor rgb="FFB0E4CC"/>
        </patternFill>
      </fill>
    </dxf>
    <dxf>
      <fill>
        <patternFill>
          <bgColor rgb="FFB0E4CC"/>
        </patternFill>
      </fill>
    </dxf>
    <dxf>
      <fill>
        <patternFill>
          <bgColor rgb="FFB0E4CC"/>
        </patternFill>
      </fill>
    </dxf>
    <dxf>
      <fill>
        <patternFill>
          <bgColor rgb="FFB0E4CC"/>
        </patternFill>
      </fill>
    </dxf>
    <dxf>
      <fill>
        <patternFill>
          <fgColor rgb="FFB0E4CC"/>
        </patternFill>
      </fill>
    </dxf>
    <dxf>
      <fill>
        <patternFill>
          <bgColor rgb="FFB0E4CC"/>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numFmt numFmtId="167" formatCode="m/d/yyyy"/>
      <alignment horizontal="center" vertical="center" textRotation="0" wrapText="0" indent="0" justifyLastLine="0" shrinkToFit="0" readingOrder="0"/>
    </dxf>
    <dxf>
      <font>
        <sz val="11"/>
      </font>
    </dxf>
    <dxf>
      <font>
        <sz val="10"/>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numFmt numFmtId="14" formatCode="0.00%"/>
    </dxf>
    <dxf>
      <font>
        <b/>
      </font>
    </dxf>
    <dxf>
      <numFmt numFmtId="2" formatCode="0.00"/>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ill>
        <patternFill>
          <bgColor rgb="FFB0E4CC"/>
        </patternFill>
      </fill>
    </dxf>
    <dxf>
      <fill>
        <patternFill>
          <bgColor theme="0" tint="-4.9989318521683403E-2"/>
        </patternFill>
      </fill>
    </dxf>
    <dxf>
      <fill>
        <patternFill>
          <bgColor theme="0" tint="-4.9989318521683403E-2"/>
        </patternFill>
      </fill>
    </dxf>
    <dxf>
      <font>
        <sz val="10"/>
        <name val="Segoe UI"/>
        <scheme val="none"/>
      </font>
      <fill>
        <patternFill patternType="solid">
          <fgColor indexed="64"/>
          <bgColor rgb="FFB0E4CC"/>
        </patternFill>
      </fill>
      <alignment horizontal="center" vertical="center" wrapText="1"/>
    </dxf>
    <dxf>
      <font>
        <sz val="10"/>
        <name val="Segoe UI"/>
        <scheme val="none"/>
      </font>
      <fill>
        <patternFill patternType="solid">
          <fgColor indexed="64"/>
          <bgColor rgb="FFB0E4CC"/>
        </patternFill>
      </fill>
      <alignment horizontal="center" vertical="center" wrapText="1"/>
    </dxf>
    <dxf>
      <font>
        <sz val="10"/>
        <name val="Segoe UI"/>
        <scheme val="none"/>
      </font>
      <fill>
        <patternFill patternType="solid">
          <fgColor indexed="64"/>
          <bgColor rgb="FFB0E4CC"/>
        </patternFill>
      </fill>
      <alignment horizontal="center" vertical="center" wrapText="1"/>
    </dxf>
    <dxf>
      <font>
        <sz val="11"/>
      </font>
    </dxf>
    <dxf>
      <font>
        <sz val="10"/>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numFmt numFmtId="1" formatCode="0"/>
    </dxf>
    <dxf>
      <font>
        <sz val="11"/>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numFmt numFmtId="13" formatCode="0%"/>
    </dxf>
    <dxf>
      <font>
        <sz val="11"/>
      </font>
    </dxf>
    <dxf>
      <font>
        <sz val="10"/>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numFmt numFmtId="13" formatCode="0%"/>
    </dxf>
    <dxf>
      <font>
        <sz val="11"/>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numFmt numFmtId="14" formatCode="0.00%"/>
    </dxf>
    <dxf>
      <font>
        <b/>
      </font>
    </dxf>
    <dxf>
      <numFmt numFmtId="2" formatCode="0.00"/>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B0E4CC"/>
        </patternFill>
      </fill>
    </dxf>
    <dxf>
      <fill>
        <patternFill>
          <bgColor theme="0" tint="-4.9989318521683403E-2"/>
        </patternFill>
      </fill>
    </dxf>
    <dxf>
      <fill>
        <patternFill>
          <bgColor theme="0" tint="-4.9989318521683403E-2"/>
        </patternFill>
      </fill>
    </dxf>
    <dxf>
      <font>
        <sz val="10"/>
        <name val="Segoe UI"/>
        <scheme val="none"/>
      </font>
      <fill>
        <patternFill patternType="solid">
          <fgColor indexed="64"/>
          <bgColor rgb="FFB0E4CC"/>
        </patternFill>
      </fill>
      <alignment horizontal="center" vertical="center" wrapText="1"/>
    </dxf>
    <dxf>
      <font>
        <sz val="10"/>
        <name val="Segoe UI"/>
        <scheme val="none"/>
      </font>
      <fill>
        <patternFill patternType="solid">
          <fgColor indexed="64"/>
          <bgColor rgb="FFB0E4CC"/>
        </patternFill>
      </fill>
      <alignment horizontal="center" vertical="center" wrapText="1"/>
    </dxf>
    <dxf>
      <font>
        <sz val="10"/>
        <name val="Segoe UI"/>
        <scheme val="none"/>
      </font>
      <fill>
        <patternFill patternType="solid">
          <fgColor indexed="64"/>
          <bgColor rgb="FFB0E4CC"/>
        </patternFill>
      </fill>
      <alignment horizontal="center" vertical="center" wrapText="1"/>
    </dxf>
    <dxf>
      <numFmt numFmtId="1" formatCode="0"/>
    </dxf>
    <dxf>
      <font>
        <sz val="11"/>
      </font>
    </dxf>
    <dxf>
      <font>
        <sz val="10"/>
      </font>
    </dxf>
    <dxf>
      <alignment wrapText="1"/>
    </dxf>
    <dxf>
      <fill>
        <patternFill>
          <bgColor rgb="FFB0E4CC"/>
        </patternFill>
      </fill>
    </dxf>
    <dxf>
      <fill>
        <patternFill patternType="solid">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sz val="12"/>
      </font>
    </dxf>
    <dxf>
      <font>
        <name val="Segoe UI"/>
        <scheme val="none"/>
      </font>
    </dxf>
    <dxf>
      <font>
        <sz val="14"/>
      </font>
    </dxf>
    <dxf>
      <font>
        <name val="Segoe UI"/>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numFmt numFmtId="2" formatCode="0.00"/>
    </dxf>
    <dxf>
      <alignment horizontal="center" vertical="center" textRotation="0" wrapText="0" indent="0" justifyLastLine="0" shrinkToFit="0" readingOrder="0"/>
    </dxf>
    <dxf>
      <numFmt numFmtId="167"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SlicerStyleDark5 2" pivot="0" table="0" count="10" xr9:uid="{4C07F5BD-2080-478E-A4E5-26532E40337A}">
      <tableStyleElement type="wholeTable" dxfId="51"/>
      <tableStyleElement type="headerRow" dxfId="50"/>
    </tableStyle>
  </tableStyles>
  <colors>
    <mruColors>
      <color rgb="FF285A48"/>
      <color rgb="FFB0E4CC"/>
      <color rgb="FF091413"/>
      <color rgb="FF408A71"/>
      <color rgb="FFFEBEBE"/>
      <color rgb="FFFD7B7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8" tint="-0.249977111117893"/>
          </font>
          <fill>
            <patternFill patternType="solid">
              <fgColor theme="8" tint="0.59999389629810485"/>
              <bgColor rgb="FFB0E4CC"/>
            </patternFill>
          </fill>
          <border diagonalUp="0" diagonalDown="0">
            <left/>
            <right/>
            <top/>
            <bottom/>
            <vertical/>
            <horizontal/>
          </border>
        </dxf>
        <dxf>
          <font>
            <color auto="1"/>
            <name val="Segoe UI"/>
            <family val="2"/>
            <scheme val="none"/>
          </font>
          <fill>
            <patternFill patternType="solid">
              <fgColor theme="8"/>
              <bgColor rgb="FFB0E4CC"/>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b val="0"/>
            <i val="0"/>
            <color rgb="FF000000"/>
            <name val="Segoe UI"/>
            <family val="2"/>
            <scheme val="none"/>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Project_1.xlsx]Pivots!PivotTable1</c:name>
    <c:fmtId val="34"/>
  </c:pivotSource>
  <c:chart>
    <c:autoTitleDeleted val="0"/>
    <c:pivotFmts>
      <c:pivotFmt>
        <c:idx val="0"/>
        <c:spPr>
          <a:solidFill>
            <a:srgbClr val="285A48"/>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0E4CC"/>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285A4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0E4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5A48"/>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0E4CC"/>
          </a:solidFill>
          <a:ln>
            <a:solidFill>
              <a:srgbClr val="091413"/>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3441543491274287E-2"/>
              <c:y val="-7.775701613233074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1628677994198093E-2"/>
              <c:y val="-4.997923227892219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5254408988350312E-2"/>
              <c:y val="-4.720145389358133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1102362204724411E-2"/>
              <c:y val="-6.109034582028561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
          <c:idx val="0"/>
          <c:layout>
            <c:manualLayout>
              <c:x val="3.8422106971683647E-3"/>
              <c:y val="-6.708341557959132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92120436250487E-2"/>
          <c:y val="6.3071248832362176E-2"/>
          <c:w val="0.94359770426371259"/>
          <c:h val="0.75135943350331758"/>
        </c:manualLayout>
      </c:layout>
      <c:barChart>
        <c:barDir val="col"/>
        <c:grouping val="clustered"/>
        <c:varyColors val="0"/>
        <c:ser>
          <c:idx val="0"/>
          <c:order val="0"/>
          <c:tx>
            <c:strRef>
              <c:f>Pivots!$C$3</c:f>
              <c:strCache>
                <c:ptCount val="1"/>
                <c:pt idx="0">
                  <c:v>Sea Freight Index</c:v>
                </c:pt>
              </c:strCache>
            </c:strRef>
          </c:tx>
          <c:spPr>
            <a:solidFill>
              <a:srgbClr val="285A48"/>
            </a:solidFill>
            <a:ln>
              <a:solidFill>
                <a:schemeClr val="bg1"/>
              </a:solidFill>
            </a:ln>
            <a:effectLst>
              <a:outerShdw blurRad="57150" dist="19050" dir="5400000" algn="ctr" rotWithShape="0">
                <a:srgbClr val="000000">
                  <a:alpha val="63000"/>
                </a:srgbClr>
              </a:outerShdw>
            </a:effectLst>
          </c:spPr>
          <c:invertIfNegative val="0"/>
          <c:cat>
            <c:strRef>
              <c:f>Pivots!$B$4:$B$28</c:f>
              <c:strCach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strCache>
            </c:strRef>
          </c:cat>
          <c:val>
            <c:numRef>
              <c:f>Pivots!$C$4:$C$28</c:f>
              <c:numCache>
                <c:formatCode>0.00</c:formatCode>
                <c:ptCount val="24"/>
                <c:pt idx="0">
                  <c:v>228.6</c:v>
                </c:pt>
                <c:pt idx="1">
                  <c:v>230.78333333333333</c:v>
                </c:pt>
                <c:pt idx="2">
                  <c:v>236.91666666666666</c:v>
                </c:pt>
                <c:pt idx="3">
                  <c:v>238.33333333333334</c:v>
                </c:pt>
                <c:pt idx="4">
                  <c:v>234.93333333333331</c:v>
                </c:pt>
                <c:pt idx="5">
                  <c:v>263.89166666666665</c:v>
                </c:pt>
                <c:pt idx="6">
                  <c:v>223.56666666666669</c:v>
                </c:pt>
                <c:pt idx="7">
                  <c:v>250.04999999999998</c:v>
                </c:pt>
                <c:pt idx="8">
                  <c:v>259.29166666666669</c:v>
                </c:pt>
                <c:pt idx="9">
                  <c:v>255.26666666666665</c:v>
                </c:pt>
                <c:pt idx="10">
                  <c:v>254.54999999999998</c:v>
                </c:pt>
                <c:pt idx="11">
                  <c:v>268.18333333333334</c:v>
                </c:pt>
                <c:pt idx="12">
                  <c:v>264.82499999999999</c:v>
                </c:pt>
                <c:pt idx="13">
                  <c:v>246.78333333333333</c:v>
                </c:pt>
                <c:pt idx="14">
                  <c:v>268.43333333333334</c:v>
                </c:pt>
                <c:pt idx="15">
                  <c:v>298.11666666666667</c:v>
                </c:pt>
                <c:pt idx="16">
                  <c:v>316.18333333333334</c:v>
                </c:pt>
                <c:pt idx="17">
                  <c:v>298.27500000000003</c:v>
                </c:pt>
                <c:pt idx="18">
                  <c:v>336.09483333333333</c:v>
                </c:pt>
                <c:pt idx="19">
                  <c:v>434.71075000000002</c:v>
                </c:pt>
                <c:pt idx="20">
                  <c:v>431.30574999999999</c:v>
                </c:pt>
                <c:pt idx="21">
                  <c:v>422.7404166666667</c:v>
                </c:pt>
                <c:pt idx="22">
                  <c:v>418.25874999999996</c:v>
                </c:pt>
                <c:pt idx="23">
                  <c:v>430.459</c:v>
                </c:pt>
              </c:numCache>
            </c:numRef>
          </c:val>
          <c:extLst>
            <c:ext xmlns:c16="http://schemas.microsoft.com/office/drawing/2014/chart" uri="{C3380CC4-5D6E-409C-BE32-E72D297353CC}">
              <c16:uniqueId val="{00000000-E121-407B-AE62-EFE47D4BC34E}"/>
            </c:ext>
          </c:extLst>
        </c:ser>
        <c:ser>
          <c:idx val="1"/>
          <c:order val="1"/>
          <c:tx>
            <c:strRef>
              <c:f>Pivots!$D$3</c:f>
              <c:strCache>
                <c:ptCount val="1"/>
                <c:pt idx="0">
                  <c:v>Air Freight Index</c:v>
                </c:pt>
              </c:strCache>
            </c:strRef>
          </c:tx>
          <c:spPr>
            <a:solidFill>
              <a:srgbClr val="B0E4CC"/>
            </a:solidFill>
            <a:ln>
              <a:solidFill>
                <a:srgbClr val="091413"/>
              </a:solidFill>
            </a:ln>
            <a:effectLst>
              <a:outerShdw blurRad="57150" dist="19050" dir="5400000" algn="ctr" rotWithShape="0">
                <a:srgbClr val="000000">
                  <a:alpha val="63000"/>
                </a:srgbClr>
              </a:outerShdw>
            </a:effectLst>
          </c:spPr>
          <c:invertIfNegative val="0"/>
          <c:cat>
            <c:strRef>
              <c:f>Pivots!$B$4:$B$28</c:f>
              <c:strCach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strCache>
            </c:strRef>
          </c:cat>
          <c:val>
            <c:numRef>
              <c:f>Pivots!$D$4:$D$28</c:f>
              <c:numCache>
                <c:formatCode>0.00</c:formatCode>
                <c:ptCount val="24"/>
                <c:pt idx="0">
                  <c:v>100</c:v>
                </c:pt>
                <c:pt idx="1">
                  <c:v>100.19166666666666</c:v>
                </c:pt>
                <c:pt idx="2">
                  <c:v>104.93333333333334</c:v>
                </c:pt>
                <c:pt idx="3">
                  <c:v>108.41666666666667</c:v>
                </c:pt>
                <c:pt idx="4">
                  <c:v>109.03333333333335</c:v>
                </c:pt>
                <c:pt idx="5">
                  <c:v>127.78333333333335</c:v>
                </c:pt>
                <c:pt idx="6">
                  <c:v>119.10833333333333</c:v>
                </c:pt>
                <c:pt idx="7">
                  <c:v>130.20000000000002</c:v>
                </c:pt>
                <c:pt idx="8">
                  <c:v>145.91666666666666</c:v>
                </c:pt>
                <c:pt idx="9">
                  <c:v>155.84166666666667</c:v>
                </c:pt>
                <c:pt idx="10">
                  <c:v>156.73333333333332</c:v>
                </c:pt>
                <c:pt idx="11">
                  <c:v>157.03333333333333</c:v>
                </c:pt>
                <c:pt idx="12">
                  <c:v>151.41666666666666</c:v>
                </c:pt>
                <c:pt idx="13">
                  <c:v>151.45833333333334</c:v>
                </c:pt>
                <c:pt idx="14">
                  <c:v>150.4</c:v>
                </c:pt>
                <c:pt idx="15">
                  <c:v>154.1</c:v>
                </c:pt>
                <c:pt idx="16">
                  <c:v>153.79999999999998</c:v>
                </c:pt>
                <c:pt idx="17">
                  <c:v>154.97499999999999</c:v>
                </c:pt>
                <c:pt idx="18">
                  <c:v>163.9795</c:v>
                </c:pt>
                <c:pt idx="19">
                  <c:v>181.24558333333334</c:v>
                </c:pt>
                <c:pt idx="20">
                  <c:v>174.08866666666665</c:v>
                </c:pt>
                <c:pt idx="21">
                  <c:v>167.11199999999999</c:v>
                </c:pt>
                <c:pt idx="22">
                  <c:v>171.12841666666668</c:v>
                </c:pt>
                <c:pt idx="23">
                  <c:v>176.37200000000001</c:v>
                </c:pt>
              </c:numCache>
            </c:numRef>
          </c:val>
          <c:extLst>
            <c:ext xmlns:c16="http://schemas.microsoft.com/office/drawing/2014/chart" uri="{C3380CC4-5D6E-409C-BE32-E72D297353CC}">
              <c16:uniqueId val="{00000001-E121-407B-AE62-EFE47D4BC34E}"/>
            </c:ext>
          </c:extLst>
        </c:ser>
        <c:dLbls>
          <c:showLegendKey val="0"/>
          <c:showVal val="0"/>
          <c:showCatName val="0"/>
          <c:showSerName val="0"/>
          <c:showPercent val="0"/>
          <c:showBubbleSize val="0"/>
        </c:dLbls>
        <c:gapWidth val="26"/>
        <c:overlap val="-4"/>
        <c:axId val="545390063"/>
        <c:axId val="545387543"/>
      </c:barChart>
      <c:lineChart>
        <c:grouping val="standard"/>
        <c:varyColors val="0"/>
        <c:ser>
          <c:idx val="2"/>
          <c:order val="2"/>
          <c:tx>
            <c:strRef>
              <c:f>Pivots!$E$3</c:f>
              <c:strCache>
                <c:ptCount val="1"/>
                <c:pt idx="0">
                  <c:v>Supply Stress Ratio</c:v>
                </c:pt>
              </c:strCache>
            </c:strRef>
          </c:tx>
          <c:spPr>
            <a:ln w="34925" cap="rnd">
              <a:solidFill>
                <a:srgbClr val="091413"/>
              </a:solidFill>
              <a:round/>
            </a:ln>
            <a:effectLst>
              <a:outerShdw blurRad="57150" dist="19050" dir="5400000" algn="ctr" rotWithShape="0">
                <a:srgbClr val="000000">
                  <a:alpha val="63000"/>
                </a:srgbClr>
              </a:outerShdw>
            </a:effectLst>
          </c:spPr>
          <c:marker>
            <c:symbol val="circle"/>
            <c:size val="6"/>
            <c:spPr>
              <a:solidFill>
                <a:srgbClr val="B0E4CC"/>
              </a:solidFill>
              <a:ln w="9525">
                <a:solidFill>
                  <a:schemeClr val="accent3"/>
                </a:solidFill>
                <a:round/>
              </a:ln>
              <a:effectLst>
                <a:outerShdw blurRad="57150" dist="19050" dir="5400000" algn="ctr" rotWithShape="0">
                  <a:srgbClr val="000000">
                    <a:alpha val="63000"/>
                  </a:srgbClr>
                </a:outerShdw>
              </a:effectLst>
            </c:spPr>
          </c:marker>
          <c:dLbls>
            <c:dLbl>
              <c:idx val="5"/>
              <c:layout>
                <c:manualLayout>
                  <c:x val="3.8422106971683647E-3"/>
                  <c:y val="-6.708341557959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AF-49E7-8F55-9E3FF8CFE03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Pivots!$B$4:$B$28</c:f>
              <c:strCach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strCache>
            </c:strRef>
          </c:cat>
          <c:val>
            <c:numRef>
              <c:f>Pivots!$E$4:$E$28</c:f>
              <c:numCache>
                <c:formatCode>0.00</c:formatCode>
                <c:ptCount val="24"/>
                <c:pt idx="0">
                  <c:v>2.286</c:v>
                </c:pt>
                <c:pt idx="1">
                  <c:v>2.3034184479747153</c:v>
                </c:pt>
                <c:pt idx="2">
                  <c:v>2.257782719186785</c:v>
                </c:pt>
                <c:pt idx="3">
                  <c:v>2.1983089930822444</c:v>
                </c:pt>
                <c:pt idx="4">
                  <c:v>2.1546927545093237</c:v>
                </c:pt>
                <c:pt idx="5">
                  <c:v>2.0651493413329853</c:v>
                </c:pt>
                <c:pt idx="6">
                  <c:v>1.8770027286084099</c:v>
                </c:pt>
                <c:pt idx="7">
                  <c:v>1.9205069124423959</c:v>
                </c:pt>
                <c:pt idx="8">
                  <c:v>1.7769845802398632</c:v>
                </c:pt>
                <c:pt idx="9">
                  <c:v>1.6379872734078391</c:v>
                </c:pt>
                <c:pt idx="10">
                  <c:v>1.624096129306678</c:v>
                </c:pt>
                <c:pt idx="11">
                  <c:v>1.7078115049883253</c:v>
                </c:pt>
                <c:pt idx="12">
                  <c:v>1.7489818381948268</c:v>
                </c:pt>
                <c:pt idx="13">
                  <c:v>1.6293810178817054</c:v>
                </c:pt>
                <c:pt idx="14">
                  <c:v>1.7847960992907801</c:v>
                </c:pt>
                <c:pt idx="15">
                  <c:v>1.9345662989400823</c:v>
                </c:pt>
                <c:pt idx="16">
                  <c:v>2.0558084091894235</c:v>
                </c:pt>
                <c:pt idx="17">
                  <c:v>1.9246652685917087</c:v>
                </c:pt>
                <c:pt idx="18">
                  <c:v>2.0496149417051113</c:v>
                </c:pt>
                <c:pt idx="19">
                  <c:v>2.3984625832261659</c:v>
                </c:pt>
                <c:pt idx="20">
                  <c:v>2.4775061941615961</c:v>
                </c:pt>
                <c:pt idx="21">
                  <c:v>2.5296831865256038</c:v>
                </c:pt>
                <c:pt idx="22">
                  <c:v>2.4441221285574524</c:v>
                </c:pt>
                <c:pt idx="23">
                  <c:v>2.4406311659447075</c:v>
                </c:pt>
              </c:numCache>
            </c:numRef>
          </c:val>
          <c:smooth val="0"/>
          <c:extLst>
            <c:ext xmlns:c16="http://schemas.microsoft.com/office/drawing/2014/chart" uri="{C3380CC4-5D6E-409C-BE32-E72D297353CC}">
              <c16:uniqueId val="{00000002-E121-407B-AE62-EFE47D4BC34E}"/>
            </c:ext>
          </c:extLst>
        </c:ser>
        <c:dLbls>
          <c:showLegendKey val="0"/>
          <c:showVal val="0"/>
          <c:showCatName val="0"/>
          <c:showSerName val="0"/>
          <c:showPercent val="0"/>
          <c:showBubbleSize val="0"/>
        </c:dLbls>
        <c:marker val="1"/>
        <c:smooth val="0"/>
        <c:axId val="545393303"/>
        <c:axId val="545392943"/>
      </c:lineChart>
      <c:catAx>
        <c:axId val="545390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87543"/>
        <c:crosses val="autoZero"/>
        <c:auto val="1"/>
        <c:lblAlgn val="ctr"/>
        <c:lblOffset val="100"/>
        <c:noMultiLvlLbl val="0"/>
      </c:catAx>
      <c:valAx>
        <c:axId val="545387543"/>
        <c:scaling>
          <c:orientation val="minMax"/>
        </c:scaling>
        <c:delete val="0"/>
        <c:axPos val="l"/>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90063"/>
        <c:crosses val="autoZero"/>
        <c:crossBetween val="between"/>
      </c:valAx>
      <c:valAx>
        <c:axId val="545392943"/>
        <c:scaling>
          <c:orientation val="minMax"/>
        </c:scaling>
        <c:delete val="0"/>
        <c:axPos val="r"/>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93303"/>
        <c:crosses val="max"/>
        <c:crossBetween val="between"/>
      </c:valAx>
      <c:catAx>
        <c:axId val="545393303"/>
        <c:scaling>
          <c:orientation val="minMax"/>
        </c:scaling>
        <c:delete val="1"/>
        <c:axPos val="b"/>
        <c:numFmt formatCode="General" sourceLinked="1"/>
        <c:majorTickMark val="none"/>
        <c:minorTickMark val="none"/>
        <c:tickLblPos val="nextTo"/>
        <c:crossAx val="545392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90000"/>
        </a:schemeClr>
      </a:solidFill>
      <a:round/>
    </a:ln>
    <a:effectLst>
      <a:outerShdw blurRad="190500" dist="63500" sx="102000" sy="102000" algn="ctr" rotWithShape="0">
        <a:prstClr val="black">
          <a:alpha val="3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7C96F8E-4D0A-40D5-98AC-632266A45154}" formatIdx="1">
          <cx:tx>
            <cx:txData>
              <cx:f>_xlchart.v1.1</cx:f>
              <cx:v>After Shock</cx:v>
            </cx:txData>
          </cx:tx>
          <cx:spPr>
            <a:ln>
              <a:solidFill>
                <a:schemeClr val="tx1"/>
              </a:solidFill>
            </a:ln>
          </cx:spPr>
          <cx:dataPt idx="0">
            <cx:spPr>
              <a:solidFill>
                <a:srgbClr val="285A48"/>
              </a:solidFill>
            </cx:spPr>
          </cx:dataPt>
          <cx:dataPt idx="1">
            <cx:spPr>
              <a:solidFill>
                <a:srgbClr val="B0E4CC"/>
              </a:solidFill>
            </cx:spPr>
          </cx:dataPt>
          <cx:dataPt idx="2">
            <cx:spPr>
              <a:solidFill>
                <a:srgbClr val="B0E4CC"/>
              </a:solidFill>
            </cx:spPr>
          </cx:dataPt>
          <cx:dataPt idx="3">
            <cx:spPr>
              <a:solidFill>
                <a:srgbClr val="B0E4CC"/>
              </a:solidFill>
            </cx:spPr>
          </cx:dataPt>
          <cx:dataPt idx="4">
            <cx:spPr>
              <a:solidFill>
                <a:srgbClr val="091413"/>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4"/>
            </cx:subtotals>
          </cx:layoutPr>
        </cx:series>
      </cx:plotAreaRegion>
      <cx:axis id="0">
        <cx:catScaling gapWidth="0.5"/>
        <cx:tickLabels/>
      </cx:axis>
      <cx:axis id="1" hidden="1">
        <cx:valScaling/>
        <cx:tickLabels/>
      </cx:axis>
    </cx:plotArea>
  </cx:chart>
  <cx:spPr>
    <a:solidFill>
      <a:schemeClr val="bg2"/>
    </a:solidFill>
    <a:ln>
      <a:solidFill>
        <a:schemeClr val="bg2">
          <a:lumMod val="90000"/>
        </a:schemeClr>
      </a:solidFill>
    </a:ln>
    <a:effectLst>
      <a:outerShdw blurRad="190500" sx="102000" sy="102000" algn="ctr" rotWithShape="0">
        <a:prstClr val="black">
          <a:alpha val="3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188843</xdr:rowOff>
    </xdr:from>
    <xdr:to>
      <xdr:col>16</xdr:col>
      <xdr:colOff>1</xdr:colOff>
      <xdr:row>21</xdr:row>
      <xdr:rowOff>159026</xdr:rowOff>
    </xdr:to>
    <xdr:graphicFrame macro="">
      <xdr:nvGraphicFramePr>
        <xdr:cNvPr id="2" name="Chart 1">
          <a:extLst>
            <a:ext uri="{FF2B5EF4-FFF2-40B4-BE49-F238E27FC236}">
              <a16:creationId xmlns:a16="http://schemas.microsoft.com/office/drawing/2014/main" id="{5DE3DD49-A78F-4E03-8D0E-9B9F14637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853109</xdr:colOff>
      <xdr:row>26</xdr:row>
      <xdr:rowOff>1</xdr:rowOff>
    </xdr:from>
    <xdr:to>
      <xdr:col>15</xdr:col>
      <xdr:colOff>381000</xdr:colOff>
      <xdr:row>31</xdr:row>
      <xdr:rowOff>1</xdr:rowOff>
    </xdr:to>
    <mc:AlternateContent xmlns:mc="http://schemas.openxmlformats.org/markup-compatibility/2006">
      <mc:Choice xmlns:a14="http://schemas.microsoft.com/office/drawing/2010/main" Requires="a14">
        <xdr:graphicFrame macro="">
          <xdr:nvGraphicFramePr>
            <xdr:cNvPr id="3" name="Date (Year) 1">
              <a:extLst>
                <a:ext uri="{FF2B5EF4-FFF2-40B4-BE49-F238E27FC236}">
                  <a16:creationId xmlns:a16="http://schemas.microsoft.com/office/drawing/2014/main" id="{97FE2462-899B-410B-B9C1-B781B3A65AA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1143000" y="5391979"/>
              <a:ext cx="903632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22</xdr:row>
      <xdr:rowOff>1</xdr:rowOff>
    </xdr:from>
    <xdr:to>
      <xdr:col>17</xdr:col>
      <xdr:colOff>0</xdr:colOff>
      <xdr:row>26</xdr:row>
      <xdr:rowOff>1</xdr:rowOff>
    </xdr:to>
    <xdr:sp macro="" textlink="">
      <xdr:nvSpPr>
        <xdr:cNvPr id="6" name="TextBox 1">
          <a:extLst>
            <a:ext uri="{FF2B5EF4-FFF2-40B4-BE49-F238E27FC236}">
              <a16:creationId xmlns:a16="http://schemas.microsoft.com/office/drawing/2014/main" id="{F9CD48EB-66CC-0AF4-9E87-FD81078452C4}"/>
            </a:ext>
          </a:extLst>
        </xdr:cNvPr>
        <xdr:cNvSpPr txBox="1"/>
      </xdr:nvSpPr>
      <xdr:spPr>
        <a:xfrm>
          <a:off x="438978" y="4530588"/>
          <a:ext cx="10974457" cy="76200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IN" sz="1100" kern="1200">
              <a:latin typeface="Segoe UI" panose="020B0502040204020203" pitchFamily="34" charset="0"/>
              <a:cs typeface="Segoe UI" panose="020B0502040204020203" pitchFamily="34" charset="0"/>
            </a:rPr>
            <a:t>⚠️ </a:t>
          </a:r>
          <a:r>
            <a:rPr lang="en-IN" sz="1100" b="1" kern="1200">
              <a:latin typeface="Segoe UI" panose="020B0502040204020203" pitchFamily="34" charset="0"/>
              <a:cs typeface="Segoe UI" panose="020B0502040204020203" pitchFamily="34" charset="0"/>
            </a:rPr>
            <a:t>Supply Chain Shock Peak (2022–2024):</a:t>
          </a:r>
          <a:r>
            <a:rPr lang="en-IN" sz="1100" b="1" kern="1200" baseline="0">
              <a:latin typeface="Segoe UI" panose="020B0502040204020203" pitchFamily="34" charset="0"/>
              <a:cs typeface="Segoe UI" panose="020B0502040204020203" pitchFamily="34" charset="0"/>
            </a:rPr>
            <a:t> </a:t>
          </a:r>
          <a:r>
            <a:rPr lang="en-IN" sz="1100" kern="1200">
              <a:latin typeface="Segoe UI" panose="020B0502040204020203" pitchFamily="34" charset="0"/>
              <a:cs typeface="Segoe UI" panose="020B0502040204020203" pitchFamily="34" charset="0"/>
            </a:rPr>
            <a:t>Driven by global disruptions &amp; tariff pressures</a:t>
          </a:r>
          <a:endParaRPr lang="en-IN" sz="1100" b="1" kern="1200">
            <a:latin typeface="Segoe UI" panose="020B0502040204020203" pitchFamily="34" charset="0"/>
            <a:cs typeface="Segoe UI" panose="020B0502040204020203" pitchFamily="34" charset="0"/>
          </a:endParaRPr>
        </a:p>
        <a:p>
          <a:pPr algn="l"/>
          <a:endParaRPr lang="en-IN" sz="500" b="1" kern="1200">
            <a:latin typeface="Segoe UI" panose="020B0502040204020203" pitchFamily="34" charset="0"/>
            <a:cs typeface="Segoe UI" panose="020B0502040204020203" pitchFamily="34" charset="0"/>
          </a:endParaRPr>
        </a:p>
        <a:p>
          <a:pPr algn="l"/>
          <a:r>
            <a:rPr lang="en-IN" sz="1100" b="1" kern="1200">
              <a:latin typeface="Segoe UI" panose="020B0502040204020203" pitchFamily="34" charset="0"/>
              <a:cs typeface="Segoe UI" panose="020B0502040204020203" pitchFamily="34" charset="0"/>
            </a:rPr>
            <a:t>🔍 Key</a:t>
          </a:r>
          <a:r>
            <a:rPr lang="en-IN" sz="1100" b="1" kern="1200" baseline="0">
              <a:latin typeface="Segoe UI" panose="020B0502040204020203" pitchFamily="34" charset="0"/>
              <a:cs typeface="Segoe UI" panose="020B0502040204020203" pitchFamily="34" charset="0"/>
            </a:rPr>
            <a:t> Insight:</a:t>
          </a:r>
          <a:r>
            <a:rPr lang="en-IN" sz="1100" kern="1200" baseline="0">
              <a:latin typeface="Segoe UI" panose="020B0502040204020203" pitchFamily="34" charset="0"/>
              <a:cs typeface="Segoe UI" panose="020B0502040204020203" pitchFamily="34" charset="0"/>
            </a:rPr>
            <a:t> </a:t>
          </a:r>
          <a:r>
            <a:rPr lang="en-IN" sz="1100" kern="1200">
              <a:latin typeface="Segoe UI" panose="020B0502040204020203" pitchFamily="34" charset="0"/>
              <a:cs typeface="Segoe UI" panose="020B0502040204020203" pitchFamily="34" charset="0"/>
            </a:rPr>
            <a:t>Freight costs remain </a:t>
          </a:r>
          <a:r>
            <a:rPr lang="en-IN" sz="1100" b="1" kern="1200">
              <a:latin typeface="Segoe UI" panose="020B0502040204020203" pitchFamily="34" charset="0"/>
              <a:cs typeface="Segoe UI" panose="020B0502040204020203" pitchFamily="34" charset="0"/>
            </a:rPr>
            <a:t>~36% above pre-COVID baseline</a:t>
          </a:r>
          <a:r>
            <a:rPr lang="en-IN" sz="1100" kern="1200">
              <a:latin typeface="Segoe UI" panose="020B0502040204020203" pitchFamily="34" charset="0"/>
              <a:cs typeface="Segoe UI" panose="020B0502040204020203" pitchFamily="34" charset="0"/>
            </a:rPr>
            <a:t> and </a:t>
          </a:r>
          <a:r>
            <a:rPr lang="en-IN" sz="1100" b="1" kern="1200">
              <a:latin typeface="Segoe UI" panose="020B0502040204020203" pitchFamily="34" charset="0"/>
              <a:cs typeface="Segoe UI" panose="020B0502040204020203" pitchFamily="34" charset="0"/>
            </a:rPr>
            <a:t>~87% higher </a:t>
          </a:r>
          <a:r>
            <a:rPr lang="en-IN" sz="1100" kern="1200">
              <a:latin typeface="Segoe UI" panose="020B0502040204020203" pitchFamily="34" charset="0"/>
              <a:cs typeface="Segoe UI" panose="020B0502040204020203" pitchFamily="34" charset="0"/>
            </a:rPr>
            <a:t>than air freight, indicating </a:t>
          </a:r>
          <a:r>
            <a:rPr lang="en-IN" sz="1100" b="1" kern="1200">
              <a:latin typeface="Segoe UI" panose="020B0502040204020203" pitchFamily="34" charset="0"/>
              <a:cs typeface="Segoe UI" panose="020B0502040204020203" pitchFamily="34" charset="0"/>
            </a:rPr>
            <a:t>structural supply cost inflation </a:t>
          </a:r>
          <a:r>
            <a:rPr lang="en-IN" sz="1100" kern="1200">
              <a:latin typeface="Segoe UI" panose="020B0502040204020203" pitchFamily="34" charset="0"/>
              <a:cs typeface="Segoe UI" panose="020B0502040204020203" pitchFamily="34" charset="0"/>
            </a:rPr>
            <a:t>rather than a temporary disruption.</a:t>
          </a:r>
          <a:endParaRPr lang="en-IN" sz="1100" b="1" kern="1200">
            <a:latin typeface="Segoe UI" panose="020B0502040204020203" pitchFamily="34" charset="0"/>
            <a:cs typeface="Segoe UI" panose="020B0502040204020203" pitchFamily="34" charset="0"/>
          </a:endParaRPr>
        </a:p>
      </xdr:txBody>
    </xdr:sp>
    <xdr:clientData/>
  </xdr:twoCellAnchor>
  <xdr:twoCellAnchor>
    <xdr:from>
      <xdr:col>17</xdr:col>
      <xdr:colOff>0</xdr:colOff>
      <xdr:row>13</xdr:row>
      <xdr:rowOff>82826</xdr:rowOff>
    </xdr:from>
    <xdr:to>
      <xdr:col>20</xdr:col>
      <xdr:colOff>0</xdr:colOff>
      <xdr:row>31</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086728D-5AE7-FFE4-21FC-2103F95025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13435" y="2782956"/>
              <a:ext cx="3694043" cy="3553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0.19226</cdr:x>
      <cdr:y>0.00816</cdr:y>
    </cdr:from>
    <cdr:to>
      <cdr:x>0.81599</cdr:x>
      <cdr:y>0.19203</cdr:y>
    </cdr:to>
    <cdr:sp macro="" textlink="">
      <cdr:nvSpPr>
        <cdr:cNvPr id="2" name="TextBox 1">
          <a:extLst xmlns:a="http://schemas.openxmlformats.org/drawingml/2006/main">
            <a:ext uri="{FF2B5EF4-FFF2-40B4-BE49-F238E27FC236}">
              <a16:creationId xmlns:a16="http://schemas.microsoft.com/office/drawing/2014/main" id="{2BB7CBAD-412A-1002-5CC6-9BDC901B13BA}"/>
            </a:ext>
          </a:extLst>
        </cdr:cNvPr>
        <cdr:cNvSpPr txBox="1"/>
      </cdr:nvSpPr>
      <cdr:spPr>
        <a:xfrm xmlns:a="http://schemas.openxmlformats.org/drawingml/2006/main">
          <a:off x="2103783" y="37319"/>
          <a:ext cx="6824869" cy="840638"/>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IN" sz="1400" b="1" kern="1200">
              <a:latin typeface="Segoe UI" panose="020B0502040204020203" pitchFamily="34" charset="0"/>
              <a:cs typeface="Segoe UI" panose="020B0502040204020203" pitchFamily="34" charset="0"/>
            </a:rPr>
            <a:t>Global Supply Chain Cost Pressure (Sea vs Air Freight)</a:t>
          </a:r>
        </a:p>
        <a:p xmlns:a="http://schemas.openxmlformats.org/drawingml/2006/main">
          <a:pPr algn="ctr"/>
          <a:r>
            <a:rPr lang="en-IN" sz="1050" b="0" kern="1200">
              <a:latin typeface="Segoe UI" panose="020B0502040204020203" pitchFamily="34" charset="0"/>
              <a:cs typeface="Segoe UI" panose="020B0502040204020203" pitchFamily="34" charset="0"/>
            </a:rPr>
            <a:t>Baseline Year: 2019</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479597106481" createdVersion="8" refreshedVersion="8" minRefreshableVersion="3" recordCount="0" supportSubquery="1" supportAdvancedDrill="1" xr:uid="{275AD2E1-0980-4658-94CB-ACD64F5FBA82}">
  <cacheSource type="external" connectionId="5"/>
  <cacheFields count="4">
    <cacheField name="[Supply_Chain_Index_Comparison].[Date (Month)].[Date (Month)]" caption="Date (Month)" numFmtId="0" hierarchy="5" level="1">
      <sharedItems count="12">
        <s v="Jan"/>
        <s v="Feb"/>
        <s v="Mar"/>
        <s v="Apr"/>
        <s v="May"/>
        <s v="Jun"/>
        <s v="Jul"/>
        <s v="Aug"/>
        <s v="Sep"/>
        <s v="Oct"/>
        <s v="Nov"/>
        <s v="Dec"/>
      </sharedItems>
    </cacheField>
    <cacheField name="[Supply_Chain_Index_Comparison].[Date (Year)].[Date (Year)]" caption="Date (Year)" numFmtId="0" hierarchy="3" level="1">
      <sharedItems containsSemiMixedTypes="0" containsString="0" containsNumber="1" containsInteger="1" minValue="2003" maxValue="2026" count="24">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Supply_Chain_Index_Comparison].[Date (Year)].&amp;[2003]"/>
            <x15:cachedUniqueName index="1" name="[Supply_Chain_Index_Comparison].[Date (Year)].&amp;[2004]"/>
            <x15:cachedUniqueName index="2" name="[Supply_Chain_Index_Comparison].[Date (Year)].&amp;[2005]"/>
            <x15:cachedUniqueName index="3" name="[Supply_Chain_Index_Comparison].[Date (Year)].&amp;[2006]"/>
            <x15:cachedUniqueName index="4" name="[Supply_Chain_Index_Comparison].[Date (Year)].&amp;[2007]"/>
            <x15:cachedUniqueName index="5" name="[Supply_Chain_Index_Comparison].[Date (Year)].&amp;[2008]"/>
            <x15:cachedUniqueName index="6" name="[Supply_Chain_Index_Comparison].[Date (Year)].&amp;[2009]"/>
            <x15:cachedUniqueName index="7" name="[Supply_Chain_Index_Comparison].[Date (Year)].&amp;[2010]"/>
            <x15:cachedUniqueName index="8" name="[Supply_Chain_Index_Comparison].[Date (Year)].&amp;[2011]"/>
            <x15:cachedUniqueName index="9" name="[Supply_Chain_Index_Comparison].[Date (Year)].&amp;[2012]"/>
            <x15:cachedUniqueName index="10" name="[Supply_Chain_Index_Comparison].[Date (Year)].&amp;[2013]"/>
            <x15:cachedUniqueName index="11" name="[Supply_Chain_Index_Comparison].[Date (Year)].&amp;[2014]"/>
            <x15:cachedUniqueName index="12" name="[Supply_Chain_Index_Comparison].[Date (Year)].&amp;[2015]"/>
            <x15:cachedUniqueName index="13" name="[Supply_Chain_Index_Comparison].[Date (Year)].&amp;[2016]"/>
            <x15:cachedUniqueName index="14" name="[Supply_Chain_Index_Comparison].[Date (Year)].&amp;[2017]"/>
            <x15:cachedUniqueName index="15" name="[Supply_Chain_Index_Comparison].[Date (Year)].&amp;[2018]"/>
            <x15:cachedUniqueName index="16" name="[Supply_Chain_Index_Comparison].[Date (Year)].&amp;[2019]"/>
            <x15:cachedUniqueName index="17" name="[Supply_Chain_Index_Comparison].[Date (Year)].&amp;[2020]"/>
            <x15:cachedUniqueName index="18" name="[Supply_Chain_Index_Comparison].[Date (Year)].&amp;[2021]"/>
            <x15:cachedUniqueName index="19" name="[Supply_Chain_Index_Comparison].[Date (Year)].&amp;[2022]"/>
            <x15:cachedUniqueName index="20" name="[Supply_Chain_Index_Comparison].[Date (Year)].&amp;[2023]"/>
            <x15:cachedUniqueName index="21" name="[Supply_Chain_Index_Comparison].[Date (Year)].&amp;[2024]"/>
            <x15:cachedUniqueName index="22" name="[Supply_Chain_Index_Comparison].[Date (Year)].&amp;[2025]"/>
            <x15:cachedUniqueName index="23" name="[Supply_Chain_Index_Comparison].[Date (Year)].&amp;[2026]"/>
          </x15:cachedUniqueNames>
        </ext>
      </extLst>
    </cacheField>
    <cacheField name="[Supply_Chain_Index_Comparison].[Date].[Date]" caption="Date" numFmtId="0" level="1">
      <sharedItems containsSemiMixedTypes="0" containsNonDate="0" containsString="0"/>
    </cacheField>
    <cacheField name="[Measures].[Supply_Stres_Ratio]" caption="Supply_Stres_Ratio" numFmtId="0" hierarchy="13" level="32767"/>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2" memberValueDatatype="7" unbalanced="0">
      <fieldsUsage count="2">
        <fieldUsage x="-1"/>
        <fieldUsage x="2"/>
      </fieldsUsage>
    </cacheHierarchy>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2" memberValueDatatype="130" unbalanced="0">
      <fieldsUsage count="2">
        <fieldUsage x="-1"/>
        <fieldUsage x="0"/>
      </fieldsUsage>
    </cacheHierarchy>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oneField="1">
      <fieldsUsage count="1">
        <fieldUsage x="3"/>
      </fieldsUsage>
    </cacheHierarchy>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03819443" createdVersion="8" refreshedVersion="8" minRefreshableVersion="3" recordCount="0" supportSubquery="1" supportAdvancedDrill="1" xr:uid="{A3392949-76E4-41C9-BF69-05DF15D91760}">
  <cacheSource type="external" connectionId="5"/>
  <cacheFields count="2">
    <cacheField name="[Measures].[Current_Sea]" caption="Current_Sea" numFmtId="0" hierarchy="19"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oneField="1">
      <fieldsUsage count="1">
        <fieldUsage x="0"/>
      </fieldsUsage>
    </cacheHierarchy>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06597222" createdVersion="8" refreshedVersion="8" minRefreshableVersion="3" recordCount="0" supportSubquery="1" supportAdvancedDrill="1" xr:uid="{910A0E60-DBE1-46D6-80EB-22750F21AE3E}">
  <cacheSource type="external" connectionId="5"/>
  <cacheFields count="2">
    <cacheField name="[Measures].[Current_Air]" caption="Current_Air" numFmtId="0" hierarchy="16"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oneField="1">
      <fieldsUsage count="1">
        <fieldUsage x="0"/>
      </fieldsUsage>
    </cacheHierarchy>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09143516" createdVersion="8" refreshedVersion="8" minRefreshableVersion="3" recordCount="0" supportSubquery="1" supportAdvancedDrill="1" xr:uid="{B5042E4E-9E86-4A2C-B490-A967B4EEB966}">
  <cacheSource type="external" connectionId="5"/>
  <cacheFields count="2">
    <cacheField name="[Measures].[Sea_MoM]" caption="Sea_MoM" numFmtId="0" hierarchy="18"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oneField="1">
      <fieldsUsage count="1">
        <fieldUsage x="0"/>
      </fieldsUsage>
    </cacheHierarchy>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11805556" createdVersion="8" refreshedVersion="8" minRefreshableVersion="3" recordCount="0" supportSubquery="1" supportAdvancedDrill="1" xr:uid="{68672431-CE64-462E-8B4C-2635FB215F0E}">
  <cacheSource type="external" connectionId="5"/>
  <cacheFields count="2">
    <cacheField name="[Measures].[Air_MoM]" caption="Air_MoM" numFmtId="0" hierarchy="21"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oneField="1">
      <fieldsUsage count="1">
        <fieldUsage x="0"/>
      </fieldsUsage>
    </cacheHierarchy>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1377315" createdVersion="8" refreshedVersion="8" minRefreshableVersion="3" recordCount="0" supportSubquery="1" supportAdvancedDrill="1" xr:uid="{38C73018-1CF9-4387-BCCB-340BA4AFEAEA}">
  <cacheSource type="external" connectionId="5"/>
  <cacheFields count="2">
    <cacheField name="[Measures].[Sea_vs_Baseline]" caption="Sea_vs_Baseline" numFmtId="0" hierarchy="23"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oneField="1">
      <fieldsUsage count="1">
        <fieldUsage x="0"/>
      </fieldsUsage>
    </cacheHierarchy>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15856482" createdVersion="8" refreshedVersion="8" minRefreshableVersion="3" recordCount="0" supportSubquery="1" supportAdvancedDrill="1" xr:uid="{BA06DFCF-2284-43DA-BFFD-E0E1E9D61D63}">
  <cacheSource type="external" connectionId="5"/>
  <cacheFields count="2">
    <cacheField name="[Measures].[Freight_Gap_%]" caption="Freight_Gap_%" numFmtId="0" hierarchy="24"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oneField="1">
      <fieldsUsage count="1">
        <fieldUsage x="0"/>
      </fieldsUsage>
    </cacheHierarchy>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18055553" createdVersion="8" refreshedVersion="8" minRefreshableVersion="3" recordCount="0" supportSubquery="1" supportAdvancedDrill="1" xr:uid="{AFC280B9-4276-4973-B48D-FD3684BB2BFF}">
  <cacheSource type="external" connectionId="5"/>
  <cacheFields count="2">
    <cacheField name="[Measures].[Air_vs_Baseline]" caption="Air_vs_Baseline" numFmtId="0" hierarchy="26"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oneField="1">
      <fieldsUsage count="1">
        <fieldUsage x="0"/>
      </fieldsUsage>
    </cacheHierarchy>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24818287037" createdVersion="8" refreshedVersion="8" minRefreshableVersion="3" recordCount="0" supportSubquery="1" supportAdvancedDrill="1" xr:uid="{2AEE99C3-7374-47CF-B7BD-5529E676E7FC}">
  <cacheSource type="external" connectionId="5"/>
  <cacheFields count="2">
    <cacheField name="[Measures].[Blended_Increase]" caption="Blended_Increase" numFmtId="0" hierarchy="27" level="32767"/>
    <cacheField name="[Supply_Chain_Index_Comparison].[Date (Year)].[Date (Year)]" caption="Date (Year)" numFmtId="0" hierarchy="3" level="1">
      <sharedItems containsSemiMixedTypes="0" containsNonDate="0" containsString="0"/>
    </cacheField>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1"/>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oneField="1">
      <fieldsUsage count="1">
        <fieldUsage x="0"/>
      </fieldsUsage>
    </cacheHierarchy>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859046874997" createdVersion="5" refreshedVersion="8" minRefreshableVersion="3" recordCount="0" supportSubquery="1" supportAdvancedDrill="1" xr:uid="{E4CE54BC-8D3A-40F7-B414-D31F80A64C09}">
  <cacheSource type="external" connectionId="5"/>
  <cacheFields count="4">
    <cacheField name="[Supply_Chain_Index_Comparison].[Date (Year)].[Date (Year)]" caption="Date (Year)" numFmtId="0" hierarchy="3" level="1">
      <sharedItems containsMixedTypes="1" containsNumber="1" containsInteger="1" minValue="2003" maxValue="2026" count="28">
        <n v="2003"/>
        <n v="2004"/>
        <n v="2005"/>
        <n v="2006"/>
        <n v="2007"/>
        <n v="2008"/>
        <n v="2009"/>
        <n v="2010"/>
        <n v="2011"/>
        <n v="2012"/>
        <n v="2013"/>
        <n v="2014"/>
        <n v="2015"/>
        <n v="2016"/>
        <n v="2017"/>
        <n v="2018"/>
        <n v="2019"/>
        <n v="2020"/>
        <n v="2021"/>
        <n v="2022"/>
        <n v="2023"/>
        <n v="2024"/>
        <n v="2025"/>
        <n v="2026"/>
        <s v="2022" u="1"/>
        <s v="2023" u="1"/>
        <s v="2024" u="1"/>
        <s v="2026" u="1"/>
      </sharedItems>
      <extLst>
        <ext xmlns:x15="http://schemas.microsoft.com/office/spreadsheetml/2010/11/main" uri="{4F2E5C28-24EA-4eb8-9CBF-B6C8F9C3D259}">
          <x15:cachedUniqueNames>
            <x15:cachedUniqueName index="0" name="[Supply_Chain_Index_Comparison].[Date (Year)].&amp;[2003]"/>
            <x15:cachedUniqueName index="1" name="[Supply_Chain_Index_Comparison].[Date (Year)].&amp;[2004]"/>
            <x15:cachedUniqueName index="2" name="[Supply_Chain_Index_Comparison].[Date (Year)].&amp;[2005]"/>
            <x15:cachedUniqueName index="3" name="[Supply_Chain_Index_Comparison].[Date (Year)].&amp;[2006]"/>
            <x15:cachedUniqueName index="4" name="[Supply_Chain_Index_Comparison].[Date (Year)].&amp;[2007]"/>
            <x15:cachedUniqueName index="5" name="[Supply_Chain_Index_Comparison].[Date (Year)].&amp;[2008]"/>
            <x15:cachedUniqueName index="6" name="[Supply_Chain_Index_Comparison].[Date (Year)].&amp;[2009]"/>
            <x15:cachedUniqueName index="7" name="[Supply_Chain_Index_Comparison].[Date (Year)].&amp;[2010]"/>
            <x15:cachedUniqueName index="8" name="[Supply_Chain_Index_Comparison].[Date (Year)].&amp;[2011]"/>
            <x15:cachedUniqueName index="9" name="[Supply_Chain_Index_Comparison].[Date (Year)].&amp;[2012]"/>
            <x15:cachedUniqueName index="10" name="[Supply_Chain_Index_Comparison].[Date (Year)].&amp;[2013]"/>
            <x15:cachedUniqueName index="11" name="[Supply_Chain_Index_Comparison].[Date (Year)].&amp;[2014]"/>
            <x15:cachedUniqueName index="12" name="[Supply_Chain_Index_Comparison].[Date (Year)].&amp;[2015]"/>
            <x15:cachedUniqueName index="13" name="[Supply_Chain_Index_Comparison].[Date (Year)].&amp;[2016]"/>
            <x15:cachedUniqueName index="14" name="[Supply_Chain_Index_Comparison].[Date (Year)].&amp;[2017]"/>
            <x15:cachedUniqueName index="15" name="[Supply_Chain_Index_Comparison].[Date (Year)].&amp;[2018]"/>
            <x15:cachedUniqueName index="16" name="[Supply_Chain_Index_Comparison].[Date (Year)].&amp;[2019]"/>
            <x15:cachedUniqueName index="17" name="[Supply_Chain_Index_Comparison].[Date (Year)].&amp;[2020]"/>
            <x15:cachedUniqueName index="18" name="[Supply_Chain_Index_Comparison].[Date (Year)].&amp;[2021]"/>
            <x15:cachedUniqueName index="19" name="[Supply_Chain_Index_Comparison].[Date (Year)].&amp;[2022]"/>
            <x15:cachedUniqueName index="20" name="[Supply_Chain_Index_Comparison].[Date (Year)].&amp;[2023]"/>
            <x15:cachedUniqueName index="21" name="[Supply_Chain_Index_Comparison].[Date (Year)].&amp;[2024]"/>
            <x15:cachedUniqueName index="22" name="[Supply_Chain_Index_Comparison].[Date (Year)].&amp;[2025]"/>
            <x15:cachedUniqueName index="23" name="[Supply_Chain_Index_Comparison].[Date (Year)].&amp;[2026]"/>
          </x15:cachedUniqueNames>
        </ext>
      </extLst>
    </cacheField>
    <cacheField name="[Measures].[Average of Sea_Freight_Index]" caption="Average of Sea_Freight_Index" numFmtId="0" hierarchy="9" level="32767"/>
    <cacheField name="[Measures].[Average of Air_Freight_Index]" caption="Average of Air_Freight_Index" numFmtId="0" hierarchy="10" level="32767"/>
    <cacheField name="[Measures].[Supply_Stres_Ratio]" caption="Supply_Stres_Ratio" numFmtId="0" hierarchy="13" level="32767"/>
  </cacheFields>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fieldsUsage count="2">
        <fieldUsage x="-1"/>
        <fieldUsage x="0"/>
      </fieldsUsage>
    </cacheHierarchy>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oneField="1">
      <fieldsUsage count="1">
        <fieldUsage x="1"/>
      </fieldsUsage>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oneField="1">
      <fieldsUsage count="1">
        <fieldUsage x="2"/>
      </fieldsUsage>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oneField="1">
      <fieldsUsage count="1">
        <fieldUsage x="3"/>
      </fieldsUsage>
    </cacheHierarchy>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dimensions count="2">
    <dimension measure="1" name="Measures" uniqueName="[Measures]" caption="Measures"/>
    <dimension name="Supply_Chain_Index_Comparison" uniqueName="[Supply_Chain_Index_Comparison]" caption="Supply_Chain_Index_Comparison"/>
  </dimensions>
  <measureGroups count="1">
    <measureGroup name="Supply_Chain_Index_Comparison" caption="Supply_Chain_Index_Comparis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BRATA SAHOO" refreshedDate="46113.035214120369" createdVersion="3" refreshedVersion="8" minRefreshableVersion="3" recordCount="0" supportSubquery="1" supportAdvancedDrill="1" xr:uid="{1150586F-E8C6-4B34-9EAC-21EAE395D687}">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Supply_Chain_Index_Comparison].[Date]" caption="Date" attribute="1" time="1" defaultMemberUniqueName="[Supply_Chain_Index_Comparison].[Date].[All]" allUniqueName="[Supply_Chain_Index_Comparison].[Date].[All]" dimensionUniqueName="[Supply_Chain_Index_Comparison]" displayFolder="" count="0" memberValueDatatype="7" unbalanced="0"/>
    <cacheHierarchy uniqueName="[Supply_Chain_Index_Comparison].[Sea_Freight_Index]" caption="Sea_Freight_Index" attribute="1" defaultMemberUniqueName="[Supply_Chain_Index_Comparison].[Sea_Freight_Index].[All]" allUniqueName="[Supply_Chain_Index_Comparison].[Sea_Freight_Index].[All]" dimensionUniqueName="[Supply_Chain_Index_Comparison]" displayFolder="" count="0" memberValueDatatype="5" unbalanced="0"/>
    <cacheHierarchy uniqueName="[Supply_Chain_Index_Comparison].[Air_Freight_Index]" caption="Air_Freight_Index" attribute="1" defaultMemberUniqueName="[Supply_Chain_Index_Comparison].[Air_Freight_Index].[All]" allUniqueName="[Supply_Chain_Index_Comparison].[Air_Freight_Index].[All]" dimensionUniqueName="[Supply_Chain_Index_Comparison]" displayFolder="" count="0" memberValueDatatype="5" unbalanced="0"/>
    <cacheHierarchy uniqueName="[Supply_Chain_Index_Comparison].[Date (Year)]" caption="Date (Year)" attribute="1" defaultMemberUniqueName="[Supply_Chain_Index_Comparison].[Date (Year)].[All]" allUniqueName="[Supply_Chain_Index_Comparison].[Date (Year)].[All]" dimensionUniqueName="[Supply_Chain_Index_Comparison]" displayFolder="" count="2" memberValueDatatype="20" unbalanced="0"/>
    <cacheHierarchy uniqueName="[Supply_Chain_Index_Comparison].[Date (Quarter)]" caption="Date (Quarter)" attribute="1" defaultMemberUniqueName="[Supply_Chain_Index_Comparison].[Date (Quarter)].[All]" allUniqueName="[Supply_Chain_Index_Comparison].[Date (Quarter)].[All]" dimensionUniqueName="[Supply_Chain_Index_Comparison]" displayFolder="" count="0" memberValueDatatype="130" unbalanced="0"/>
    <cacheHierarchy uniqueName="[Supply_Chain_Index_Comparison].[Date (Month)]" caption="Date (Month)" attribute="1" defaultMemberUniqueName="[Supply_Chain_Index_Comparison].[Date (Month)].[All]" allUniqueName="[Supply_Chain_Index_Comparison].[Date (Month)].[All]" dimensionUniqueName="[Supply_Chain_Index_Comparison]" displayFolder="" count="0" memberValueDatatype="130" unbalanced="0"/>
    <cacheHierarchy uniqueName="[Supply_Chain_Index_Comparison].[Date (Month Index)]" caption="Date (Month Index)" attribute="1" defaultMemberUniqueName="[Supply_Chain_Index_Comparison].[Date (Month Index)].[All]" allUniqueName="[Supply_Chain_Index_Comparison].[Date (Month Index)].[All]" dimensionUniqueName="[Supply_Chain_Index_Comparison]" displayFolder="" count="0" memberValueDatatype="20" unbalanced="0" hidden="1"/>
    <cacheHierarchy uniqueName="[Measures].[Sum of Sea_Freight_Index]" caption="Sum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Sum of Air_Freight_Index]" caption="Sum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erage of Sea_Freight_Index]" caption="Average of Sea_Freight_Index" measure="1" displayFolder="" measureGroup="Supply_Chain_Index_Comparison" count="0">
      <extLst>
        <ext xmlns:x15="http://schemas.microsoft.com/office/spreadsheetml/2010/11/main" uri="{B97F6D7D-B522-45F9-BDA1-12C45D357490}">
          <x15:cacheHierarchy aggregatedColumn="1"/>
        </ext>
      </extLst>
    </cacheHierarchy>
    <cacheHierarchy uniqueName="[Measures].[Average of Air_Freight_Index]" caption="Average of Air_Freight_Index" measure="1" displayFolder="" measureGroup="Supply_Chain_Index_Comparison" count="0">
      <extLst>
        <ext xmlns:x15="http://schemas.microsoft.com/office/spreadsheetml/2010/11/main" uri="{B97F6D7D-B522-45F9-BDA1-12C45D357490}">
          <x15:cacheHierarchy aggregatedColumn="2"/>
        </ext>
      </extLst>
    </cacheHierarchy>
    <cacheHierarchy uniqueName="[Measures].[Avg_Sea_Freight]" caption="Avg_Sea_Freight" measure="1" displayFolder="" measureGroup="Supply_Chain_Index_Comparison" count="0"/>
    <cacheHierarchy uniqueName="[Measures].[Avg_Air_Freight]" caption="Avg_Air_Freight" measure="1" displayFolder="" measureGroup="Supply_Chain_Index_Comparison" count="0"/>
    <cacheHierarchy uniqueName="[Measures].[Supply_Stres_Ratio]" caption="Supply_Stres_Ratio" measure="1" displayFolder="" measureGroup="Supply_Chain_Index_Comparison" count="0"/>
    <cacheHierarchy uniqueName="[Measures].[Latest_Sea_Freight]" caption="Latest_Sea_Freight" measure="1" displayFolder="" measureGroup="Supply_Chain_Index_Comparison" count="0"/>
    <cacheHierarchy uniqueName="[Measures].[Latest_Air_Freight]" caption="Latest_Air_Freight" measure="1" displayFolder="" measureGroup="Supply_Chain_Index_Comparison" count="0"/>
    <cacheHierarchy uniqueName="[Measures].[Current_Air]" caption="Current_Air" measure="1" displayFolder="" measureGroup="Supply_Chain_Index_Comparison" count="0"/>
    <cacheHierarchy uniqueName="[Measures].[Previous_Sea]" caption="Previous_Sea" measure="1" displayFolder="" measureGroup="Supply_Chain_Index_Comparison" count="0"/>
    <cacheHierarchy uniqueName="[Measures].[Sea_MoM]" caption="Sea_MoM" measure="1" displayFolder="" measureGroup="Supply_Chain_Index_Comparison" count="0"/>
    <cacheHierarchy uniqueName="[Measures].[Current_Sea]" caption="Current_Sea" measure="1" displayFolder="" measureGroup="Supply_Chain_Index_Comparison" count="0"/>
    <cacheHierarchy uniqueName="[Measures].[Previous_Air]" caption="Previous_Air" measure="1" displayFolder="" measureGroup="Supply_Chain_Index_Comparison" count="0"/>
    <cacheHierarchy uniqueName="[Measures].[Air_MoM]" caption="Air_MoM" measure="1" displayFolder="" measureGroup="Supply_Chain_Index_Comparison" count="0"/>
    <cacheHierarchy uniqueName="[Measures].[Baseline_Sea_2019]" caption="Baseline_Sea_2019" measure="1" displayFolder="" measureGroup="Supply_Chain_Index_Comparison" count="0"/>
    <cacheHierarchy uniqueName="[Measures].[Sea_vs_Baseline]" caption="Sea_vs_Baseline" measure="1" displayFolder="" measureGroup="Supply_Chain_Index_Comparison" count="0"/>
    <cacheHierarchy uniqueName="[Measures].[Freight_Gap_%]" caption="Freight_Gap_%" measure="1" displayFolder="" measureGroup="Supply_Chain_Index_Comparison" count="0"/>
    <cacheHierarchy uniqueName="[Measures].[Baseline_Air_2019]" caption="Baseline_Air_2019" measure="1" displayFolder="" measureGroup="Supply_Chain_Index_Comparison" count="0"/>
    <cacheHierarchy uniqueName="[Measures].[Air_vs_Baseline]" caption="Air_vs_Baseline" measure="1" displayFolder="" measureGroup="Supply_Chain_Index_Comparison" count="0"/>
    <cacheHierarchy uniqueName="[Measures].[Blended_Increase]" caption="Blended_Increase" measure="1" displayFolder="" measureGroup="Supply_Chain_Index_Comparison" count="0"/>
    <cacheHierarchy uniqueName="[Measures].[__XL_Count Supply_Chain_Index_Comparison]" caption="__XL_Count Supply_Chain_Index_Comparison" measure="1" displayFolder="" measureGroup="Supply_Chain_Index_Comparis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40737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4A035-9234-4A14-9EE4-F650BFEA7AF3}" name="PivotTable23" cacheId="169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6">
  <location ref="G4:AE18" firstHeaderRow="1" firstDataRow="2"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Page" allDrilled="1" subtotalTop="0" showAll="0" dataSourceSort="1" defaultSubtotal="0" defaultAttributeDrillState="1"/>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x v="23"/>
    </i>
  </colItems>
  <pageFields count="1">
    <pageField fld="2" hier="0" name="[Supply_Chain_Index_Comparison].[Date].[All]" cap="All"/>
  </pageFields>
  <dataFields count="1">
    <dataField fld="3" subtotal="count" baseField="0" baseItem="0" numFmtId="2"/>
  </dataFields>
  <formats count="28">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 type="button" dataOnly="0" labelOnly="1" outline="0" axis="axisCol" fieldPosition="0"/>
    </format>
    <format dxfId="96">
      <pivotArea type="topRight" dataOnly="0" labelOnly="1" outline="0" fieldPosition="0"/>
    </format>
    <format dxfId="95">
      <pivotArea dataOnly="0" labelOnly="1" fieldPosition="0">
        <references count="1">
          <reference field="0" count="0"/>
        </references>
      </pivotArea>
    </format>
    <format dxfId="94">
      <pivotArea dataOnly="0" labelOnly="1" grandRow="1" outline="0" fieldPosition="0"/>
    </format>
    <format dxfId="93">
      <pivotArea field="0" type="button" dataOnly="0" labelOnly="1" outline="0" axis="axisRow" fieldPosition="0"/>
    </format>
    <format dxfId="92">
      <pivotArea dataOnly="0" labelOnly="1" fieldPosition="0">
        <references count="1">
          <reference field="1" count="0"/>
        </references>
      </pivotArea>
    </format>
    <format dxfId="91">
      <pivotArea dataOnly="0" labelOnly="1" grandCol="1" outline="0" fieldPosition="0"/>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1" type="button" dataOnly="0" labelOnly="1" outline="0" axis="axisCol" fieldPosition="0"/>
    </format>
    <format dxfId="86">
      <pivotArea type="topRight" dataOnly="0" labelOnly="1" outline="0"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fieldPosition="0">
        <references count="1">
          <reference field="1" count="0"/>
        </references>
      </pivotArea>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1" type="button" dataOnly="0" labelOnly="1" outline="0" axis="axisCol" fieldPosition="0"/>
    </format>
    <format dxfId="77">
      <pivotArea type="topRight" dataOnly="0" labelOnly="1" outline="0"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fieldPosition="0">
        <references count="1">
          <reference field="1" count="0"/>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412D3-DBFF-4C59-807E-6BED5B8EB7CC}" name="PivotTable1" cacheId="1755" applyNumberFormats="0" applyBorderFormats="0" applyFontFormats="0" applyPatternFormats="0" applyAlignmentFormats="0" applyWidthHeightFormats="1" dataCaption="Values" tag="8c351e77-f87c-4872-b47c-872f40d19d49" updatedVersion="8" minRefreshableVersion="3" useAutoFormatting="1" subtotalHiddenItems="1" itemPrintTitles="1" createdVersion="5" indent="0" outline="1" outlineData="1" multipleFieldFilters="0" chartFormat="44" rowHeaderCaption="Year">
  <location ref="B3:E28" firstHeaderRow="0" firstDataRow="1" firstDataCol="1"/>
  <pivotFields count="4">
    <pivotField axis="axisRow" allDrilled="1" subtotalTop="0" showAll="0" dataSourceSort="1" defaultSubtotal="0">
      <items count="28">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s>
    </pivotField>
    <pivotField dataField="1" subtotalTop="0" showAll="0" defaultSubtotal="0"/>
    <pivotField dataField="1" subtotalTop="0" showAll="0" defaultSubtotal="0"/>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ea Freight Index" fld="1" subtotal="average" baseField="0" baseItem="0" numFmtId="2"/>
    <dataField name="Air Freight Index" fld="2" subtotal="average" baseField="0" baseItem="0" numFmtId="2"/>
    <dataField name="Supply Stress Ratio" fld="3" subtotal="count" baseField="0" baseItem="0" numFmtId="2"/>
  </dataFields>
  <formats count="15">
    <format dxfId="264">
      <pivotArea outline="0" collapsedLevelsAreSubtotals="1" fieldPosition="0">
        <references count="1">
          <reference field="4294967294" count="2" selected="0">
            <x v="0"/>
            <x v="1"/>
          </reference>
        </references>
      </pivotArea>
    </format>
    <format dxfId="263">
      <pivotArea field="0" type="button" dataOnly="0" labelOnly="1" outline="0" axis="axisRow" fieldPosition="0"/>
    </format>
    <format dxfId="262">
      <pivotArea dataOnly="0" labelOnly="1" outline="0" fieldPosition="0">
        <references count="1">
          <reference field="4294967294" count="3">
            <x v="0"/>
            <x v="1"/>
            <x v="2"/>
          </reference>
        </references>
      </pivotArea>
    </format>
    <format dxfId="261">
      <pivotArea type="all" dataOnly="0" outline="0" fieldPosition="0"/>
    </format>
    <format dxfId="260">
      <pivotArea outline="0" collapsedLevelsAreSubtotals="1" fieldPosition="0"/>
    </format>
    <format dxfId="259">
      <pivotArea field="0" type="button" dataOnly="0" labelOnly="1" outline="0" axis="axisRow" fieldPosition="0"/>
    </format>
    <format dxfId="258">
      <pivotArea dataOnly="0" labelOnly="1" fieldPosition="0">
        <references count="1">
          <reference field="0" count="0"/>
        </references>
      </pivotArea>
    </format>
    <format dxfId="257">
      <pivotArea dataOnly="0" labelOnly="1" grandRow="1" outline="0" fieldPosition="0"/>
    </format>
    <format dxfId="256">
      <pivotArea dataOnly="0" labelOnly="1" outline="0" fieldPosition="0">
        <references count="1">
          <reference field="4294967294" count="3">
            <x v="0"/>
            <x v="1"/>
            <x v="2"/>
          </reference>
        </references>
      </pivotArea>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dataOnly="0" labelOnly="1" outline="0" fieldPosition="0">
        <references count="1">
          <reference field="4294967294" count="3">
            <x v="0"/>
            <x v="1"/>
            <x v="2"/>
          </reference>
        </references>
      </pivotArea>
    </format>
  </formats>
  <chartFormats count="8">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 chart="34" format="10" series="1">
      <pivotArea type="data" outline="0" fieldPosition="0">
        <references count="1">
          <reference field="4294967294" count="1" selected="0">
            <x v="2"/>
          </reference>
        </references>
      </pivotArea>
    </chartFormat>
    <chartFormat chart="34" format="11">
      <pivotArea type="data" outline="0" fieldPosition="0">
        <references count="2">
          <reference field="4294967294" count="1" selected="0">
            <x v="2"/>
          </reference>
          <reference field="0" count="1" selected="0">
            <x v="24"/>
          </reference>
        </references>
      </pivotArea>
    </chartFormat>
    <chartFormat chart="34" format="12">
      <pivotArea type="data" outline="0" fieldPosition="0">
        <references count="2">
          <reference field="4294967294" count="1" selected="0">
            <x v="2"/>
          </reference>
          <reference field="0" count="1" selected="0">
            <x v="25"/>
          </reference>
        </references>
      </pivotArea>
    </chartFormat>
    <chartFormat chart="34" format="13">
      <pivotArea type="data" outline="0" fieldPosition="0">
        <references count="2">
          <reference field="4294967294" count="1" selected="0">
            <x v="2"/>
          </reference>
          <reference field="0" count="1" selected="0">
            <x v="26"/>
          </reference>
        </references>
      </pivotArea>
    </chartFormat>
    <chartFormat chart="34" format="14">
      <pivotArea type="data" outline="0" fieldPosition="0">
        <references count="2">
          <reference field="4294967294" count="1" selected="0">
            <x v="2"/>
          </reference>
          <reference field="0" count="1" selected="0">
            <x v="27"/>
          </reference>
        </references>
      </pivotArea>
    </chartFormat>
    <chartFormat chart="34" format="15">
      <pivotArea type="data" outline="0" fieldPosition="0">
        <references count="2">
          <reference field="4294967294" count="1" selected="0">
            <x v="2"/>
          </reference>
          <reference field="0" count="1" selected="0">
            <x v="5"/>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ea Freight Index"/>
    <pivotHierarchy dragToData="1" caption="Air Freight Index"/>
    <pivotHierarchy dragToRow="0" dragToCol="0" dragToPage="0" dragToData="1"/>
    <pivotHierarchy dragToRow="0" dragToCol="0" dragToPage="0" dragToData="1"/>
    <pivotHierarchy dragToRow="0" dragToCol="0" dragToPage="0" dragToData="1" caption="Supply Stress Rati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0C126-7AD5-4945-9AED-D3A3E021EE29}" name="PivotTable7" cacheId="1737" applyNumberFormats="0" applyBorderFormats="0" applyFontFormats="0" applyPatternFormats="0" applyAlignmentFormats="0" applyWidthHeightFormats="1" dataCaption="Values" tag="f8d72039-f391-4018-9566-b19f8e901df2" updatedVersion="8" minRefreshableVersion="3"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onthly Change (Sea)" fld="0" subtotal="count" baseField="0" baseItem="0"/>
  </dataFields>
  <formats count="23">
    <format dxfId="128">
      <pivotArea dataOnly="0" labelOnly="1" outline="0" axis="axisValues" fieldPosition="0"/>
    </format>
    <format dxfId="127">
      <pivotArea dataOnly="0" labelOnly="1" outline="0" axis="axisValues"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dataOnly="0" labelOnly="1" outline="0" axis="axisValues" fieldPosition="0"/>
    </format>
    <format dxfId="113">
      <pivotArea dataOnly="0" labelOnly="1" outline="0" axis="axisValues" fieldPosition="0"/>
    </format>
    <format dxfId="112">
      <pivotArea dataOnly="0" labelOnly="1" outline="0" axis="axisValues" fieldPosition="0"/>
    </format>
    <format dxfId="111">
      <pivotArea dataOnly="0" labelOnly="1" outline="0" axis="axisValues" fieldPosition="0"/>
    </format>
    <format dxfId="110">
      <pivotArea outline="0" collapsedLevelsAreSubtotals="1" fieldPosition="0"/>
    </format>
    <format dxfId="72">
      <pivotArea type="all" dataOnly="0" outline="0" fieldPosition="0"/>
    </format>
    <format dxfId="71">
      <pivotArea outline="0" collapsedLevelsAreSubtotals="1" fieldPosition="0"/>
    </format>
    <format dxfId="58">
      <pivotArea dataOnly="0" labelOnly="1" outline="0" axis="axisValues" fieldPosition="0"/>
    </format>
    <format dxfId="22">
      <pivotArea dataOnly="0" labelOnly="1" outline="0" axis="axisValues" fieldPosition="0"/>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Change (Se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1FE7F6-DF92-4D4F-AEE7-12CCA0CAE428}" name="PivotTable16" cacheId="1752" applyNumberFormats="0" applyBorderFormats="0" applyFontFormats="0" applyPatternFormats="0" applyAlignmentFormats="0" applyWidthHeightFormats="1" dataCaption="Values" tag="29ddfa5e-0c37-40e0-bece-304eb2718d6a" updatedVersion="8" minRefreshableVersion="3" useAutoFormatting="1" subtotalHiddenItems="1" itemPrintTitles="1" createdVersion="8"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Blended Freight Inflation" fld="0" subtotal="count" baseField="0" baseItem="0" numFmtId="10"/>
  </dataFields>
  <formats count="13">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61">
      <pivotArea dataOnly="0" outline="0" axis="axisValues" fieldPosition="0"/>
    </format>
    <format dxfId="19">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Blended Freight Inflation"/>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5" id="{2F8DFD7C-DAF9-44BB-824E-642E30C003FB}">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3A7F0-3D53-4575-9E10-550E40153F7A}" name="PivotTable12" cacheId="1740" applyNumberFormats="0" applyBorderFormats="0" applyFontFormats="0" applyPatternFormats="0" applyAlignmentFormats="0" applyWidthHeightFormats="1" dataCaption="Values" tag="135bb934-3e91-4a8e-8384-bc1213b20643" updatedVersion="8" minRefreshableVersion="3" useAutoFormatting="1" subtotalHiddenItems="1" itemPrintTitles="1" createdVersion="8" indent="0" outline="1" outlineData="1" multipleFieldFilters="0">
  <location ref="L4:L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onthly Change (Air)" fld="0" subtotal="count" baseField="0" baseItem="0"/>
  </dataFields>
  <formats count="23">
    <format dxfId="158">
      <pivotArea dataOnly="0" labelOnly="1" outline="0" axis="axisValues" fieldPosition="0"/>
    </format>
    <format dxfId="157">
      <pivotArea dataOnly="0" labelOnly="1" outline="0" axis="axisValues"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dataOnly="0" labelOnly="1" outline="0" axis="axisValues" fieldPosition="0"/>
    </format>
    <format dxfId="143">
      <pivotArea dataOnly="0" labelOnly="1" outline="0" axis="axisValues" fieldPosition="0"/>
    </format>
    <format dxfId="142">
      <pivotArea dataOnly="0" labelOnly="1" outline="0" axis="axisValues" fieldPosition="0"/>
    </format>
    <format dxfId="141">
      <pivotArea dataOnly="0" labelOnly="1" outline="0" axis="axisValues" fieldPosition="0"/>
    </format>
    <format dxfId="140">
      <pivotArea outline="0" collapsedLevelsAreSubtotals="1" fieldPosition="0"/>
    </format>
    <format dxfId="70">
      <pivotArea type="all" dataOnly="0" outline="0" fieldPosition="0"/>
    </format>
    <format dxfId="69">
      <pivotArea outline="0" collapsedLevelsAreSubtotals="1" fieldPosition="0"/>
    </format>
    <format dxfId="56">
      <pivotArea dataOnly="0" labelOnly="1" outline="0" axis="axisValues" fieldPosition="0"/>
    </format>
    <format dxfId="16">
      <pivotArea dataOnly="0" labelOnly="1" outline="0" axis="axisValues"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Change (Ai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5B753-2A86-413A-8D61-51B153D71EA9}" name="PivotTable6" cacheId="1734" applyNumberFormats="0" applyBorderFormats="0" applyFontFormats="0" applyPatternFormats="0" applyAlignmentFormats="0" applyWidthHeightFormats="1" dataCaption="Values" tag="a6028764-ae0d-4f6f-83fd-0549367d33c9" updatedVersion="8" minRefreshableVersion="3" useAutoFormatting="1"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ir  Freight Index (Latest)" fld="0" subtotal="count" baseField="0" baseItem="0" numFmtId="1"/>
  </dataFields>
  <formats count="21">
    <format dxfId="177">
      <pivotArea dataOnly="0" labelOnly="1" outline="0" axis="axisValues" fieldPosition="0"/>
    </format>
    <format dxfId="176">
      <pivotArea dataOnly="0" labelOnly="1" outline="0" axis="axisValues" fieldPosition="0"/>
    </format>
    <format dxfId="175">
      <pivotArea outline="0" collapsedLevelsAreSubtotals="1" fieldPosition="0"/>
    </format>
    <format dxfId="174">
      <pivotArea outline="0" collapsedLevelsAreSubtotals="1" fieldPosition="0"/>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dataOnly="0" labelOnly="1" outline="0" axis="axisValues" fieldPosition="0"/>
    </format>
    <format dxfId="162">
      <pivotArea dataOnly="0" labelOnly="1" outline="0" axis="axisValues" fieldPosition="0"/>
    </format>
    <format dxfId="161">
      <pivotArea dataOnly="0" labelOnly="1" outline="0" axis="axisValues" fieldPosition="0"/>
    </format>
    <format dxfId="160">
      <pivotArea outline="0" collapsedLevelsAreSubtotals="1" fieldPosition="0"/>
    </format>
    <format dxfId="159">
      <pivotArea outline="0" collapsedLevelsAreSubtotals="1" fieldPosition="0"/>
    </format>
    <format dxfId="59">
      <pivotArea dataOnly="0" outline="0" axis="axisValues" fieldPosition="0"/>
    </format>
    <format dxfId="13">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ir  Freight Index (Late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523666-CC83-4AB8-8E8D-9222EFD069C5}" name="PivotTable13" cacheId="1743" applyNumberFormats="0" applyBorderFormats="0" applyFontFormats="0" applyPatternFormats="0" applyAlignmentFormats="0" applyWidthHeightFormats="1" dataCaption="Values" tag="cc063c50-f379-4d1d-bd93-59b2cc018fc8" updatedVersion="8" minRefreshableVersion="3"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vs 2019 Baseline" fld="0" subtotal="count" baseField="0" baseItem="0"/>
  </dataFields>
  <formats count="25">
    <format dxfId="197">
      <pivotArea dataOnly="0" labelOnly="1" outline="0" axis="axisValues" fieldPosition="0"/>
    </format>
    <format dxfId="196">
      <pivotArea dataOnly="0" labelOnly="1" outline="0" axis="axisValues" fieldPosition="0"/>
    </format>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dataOnly="0" labelOnly="1" outline="0" axis="axisValues" fieldPosition="0"/>
    </format>
    <format dxfId="182">
      <pivotArea dataOnly="0" labelOnly="1" outline="0" axis="axisValues" fieldPosition="0"/>
    </format>
    <format dxfId="181">
      <pivotArea dataOnly="0" labelOnly="1" outline="0" axis="axisValues" fieldPosition="0"/>
    </format>
    <format dxfId="180">
      <pivotArea dataOnly="0" labelOnly="1" outline="0" axis="axisValues" fieldPosition="0"/>
    </format>
    <format dxfId="179">
      <pivotArea outline="0" collapsedLevelsAreSubtotals="1" fieldPosition="0"/>
    </format>
    <format dxfId="178">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2">
      <pivotArea dataOnly="0" labelOnly="1" outline="0" axis="axisValues" fieldPosition="0"/>
    </format>
    <format dxfId="10">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Change (Air)"/>
    <pivotHierarchy dragToRow="0" dragToCol="0" dragToPage="0" dragToData="1"/>
    <pivotHierarchy dragToRow="0" dragToCol="0" dragToPage="0" dragToData="1" caption="vs 2019 Baselin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6" id="{60F736B8-ABD9-429D-B1F9-5991280A225A}">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640718-5E1A-4874-B3D2-7018256FBEBA}" name="PivotTable14" cacheId="1746" applyNumberFormats="0" applyBorderFormats="0" applyFontFormats="0" applyPatternFormats="0" applyAlignmentFormats="0" applyWidthHeightFormats="1" dataCaption="Values" tag="84f46226-57b6-4b74-b1cd-72fc1c087593" updatedVersion="8" minRefreshableVersion="3" useAutoFormatting="1" subtotalHiddenItems="1" itemPrintTitles="1" createdVersion="8" indent="0" outline="1" outlineData="1" multipleFieldFilters="0">
  <location ref="N4:N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a vs Air Cost Gap" fld="0" subtotal="count" baseField="0" baseItem="0" numFmtId="9"/>
  </dataFields>
  <formats count="21">
    <format dxfId="216">
      <pivotArea dataOnly="0" labelOnly="1" outline="0" axis="axisValues" fieldPosition="0"/>
    </format>
    <format dxfId="215">
      <pivotArea dataOnly="0" labelOnly="1" outline="0" axis="axisValues" fieldPosition="0"/>
    </format>
    <format dxfId="214">
      <pivotArea outline="0" collapsedLevelsAreSubtotals="1" fieldPosition="0"/>
    </format>
    <format dxfId="213">
      <pivotArea outline="0" collapsedLevelsAreSubtotals="1" fieldPosition="0"/>
    </format>
    <format dxfId="212">
      <pivotArea outline="0" collapsedLevelsAreSubtotals="1"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dataOnly="0" labelOnly="1" outline="0" axis="axisValues" fieldPosition="0"/>
    </format>
    <format dxfId="201">
      <pivotArea dataOnly="0" labelOnly="1" outline="0" axis="axisValues" fieldPosition="0"/>
    </format>
    <format dxfId="200">
      <pivotArea dataOnly="0" labelOnly="1" outline="0" axis="axisValues" fieldPosition="0"/>
    </format>
    <format dxfId="199">
      <pivotArea outline="0" collapsedLevelsAreSubtotals="1" fieldPosition="0"/>
    </format>
    <format dxfId="198">
      <pivotArea outline="0" collapsedLevelsAreSubtotals="1" fieldPosition="0"/>
    </format>
    <format dxfId="60">
      <pivotArea dataOnly="0" outline="0" axis="axisValues" fieldPosition="0"/>
    </format>
    <format dxfId="7">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Change (Air)"/>
    <pivotHierarchy dragToRow="0" dragToCol="0" dragToPage="0" dragToData="1"/>
    <pivotHierarchy dragToRow="0" dragToCol="0" dragToPage="0" dragToData="1"/>
    <pivotHierarchy dragToRow="0" dragToCol="0" dragToPage="0" dragToData="1" caption="Sea vs Air Cost Ga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34717-2E6D-402A-BB9C-7947FAED5D0A}" name="PivotTable15" cacheId="1749" applyNumberFormats="0" applyBorderFormats="0" applyFontFormats="0" applyPatternFormats="0" applyAlignmentFormats="0" applyWidthHeightFormats="1" dataCaption="Values" tag="7135d463-2e5e-4d30-bbe2-40f00585b552" updatedVersion="8" minRefreshableVersion="3" subtotalHiddenItems="1" itemPrintTitles="1" createdVersion="8"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vs 2019 Baseline" fld="0" subtotal="count" baseField="0" baseItem="0" numFmtId="10"/>
  </dataFields>
  <formats count="15">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dataOnly="0" outline="0" axis="axisValues" fieldPosition="0"/>
    </format>
    <format dxfId="219">
      <pivotArea outline="0" collapsedLevelsAreSubtotals="1" fieldPosition="0"/>
    </format>
    <format dxfId="218">
      <pivotArea outline="0" collapsedLevelsAreSubtotals="1" fieldPosition="0"/>
    </format>
    <format dxfId="217">
      <pivotArea outline="0" collapsedLevelsAreSubtotals="1" fieldPosition="0"/>
    </format>
    <format dxfId="57">
      <pivotArea dataOnly="0" outline="0" axis="axisValues" fieldPosition="0"/>
    </format>
    <format dxfId="4">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vs 2019 Baselin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0" id="{16986EF4-1D6E-4BEA-A66C-369C13DDFDB6}">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425D95-ECF4-4ACA-94CD-AF1291AE49CC}" name="PivotTable5" cacheId="1731" applyNumberFormats="0" applyBorderFormats="0" applyFontFormats="0" applyPatternFormats="0" applyAlignmentFormats="0" applyWidthHeightFormats="1" dataCaption="Values" tag="479e7e06-0412-4c32-8320-9bdf676f8fc2"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a Freight Index (Latest)" fld="0" subtotal="count" baseField="0" baseItem="0" numFmtId="1"/>
  </dataFields>
  <formats count="24">
    <format dxfId="249">
      <pivotArea dataOnly="0" labelOnly="1" outline="0" axis="axisValues" fieldPosition="0"/>
    </format>
    <format dxfId="248">
      <pivotArea dataOnly="0" labelOnly="1" outline="0" axis="axisValues"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 dxfId="244">
      <pivotArea type="all" dataOnly="0" outline="0" fieldPosition="0"/>
    </format>
    <format dxfId="243">
      <pivotArea outline="0" collapsedLevelsAreSubtotals="1"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dataOnly="0" labelOnly="1" outline="0" axis="axisValues" fieldPosition="0"/>
    </format>
    <format dxfId="234">
      <pivotArea dataOnly="0" labelOnly="1" outline="0" axis="axisValues" fieldPosition="0"/>
    </format>
    <format dxfId="233">
      <pivotArea dataOnly="0" labelOnly="1" outline="0" axis="axisValues" fieldPosition="0"/>
    </format>
    <format dxfId="232">
      <pivotArea dataOnly="0" labelOnly="1" outline="0" axis="axisValues" fieldPosition="0"/>
    </format>
    <format dxfId="231">
      <pivotArea outline="0" collapsedLevelsAreSubtotals="1" fieldPosition="0"/>
    </format>
    <format dxfId="230">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1">
      <pivotArea dataOnly="0" labelOnly="1" outline="0" axis="axisValues"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ea Freight Index (Late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Index_Compari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D575289-CB6E-4D23-9B4A-AA3F9708FA4D}" autoFormatId="16" applyNumberFormats="0" applyBorderFormats="0" applyFontFormats="0" applyPatternFormats="0" applyAlignmentFormats="0" applyWidthHeightFormats="0">
  <queryTableRefresh nextId="3">
    <queryTableFields count="2">
      <queryTableField id="1" name="Date" tableColumnId="1"/>
      <queryTableField id="2" name="Air_Freight_Index"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61D0C21-C0E6-4E37-92D6-E938F32248B3}" autoFormatId="16" applyNumberFormats="0" applyBorderFormats="0" applyFontFormats="0" applyPatternFormats="0" applyAlignmentFormats="0" applyWidthHeightFormats="0">
  <queryTableRefresh nextId="4">
    <queryTableFields count="2">
      <queryTableField id="1" name="Date" tableColumnId="1"/>
      <queryTableField id="3" name="Sea_Freight_Index"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29D527C2-FE60-468C-83D5-565D2ADD3658}" autoFormatId="16" applyNumberFormats="0" applyBorderFormats="0" applyFontFormats="0" applyPatternFormats="0" applyAlignmentFormats="0" applyWidthHeightFormats="0">
  <queryTableRefresh nextId="4">
    <queryTableFields count="3">
      <queryTableField id="1" name="Date" tableColumnId="1"/>
      <queryTableField id="2" name="Sea_Freight_Index" tableColumnId="2"/>
      <queryTableField id="3" name="Air_Freight_Index"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335A9E5-49CD-4C8D-8C22-D9F67F7F980C}" sourceName="[Supply_Chain_Index_Comparison].[Date (Year)]">
  <pivotTables>
    <pivotTable tabId="5" name="PivotTable1"/>
    <pivotTable tabId="6" name="PivotTable5"/>
    <pivotTable tabId="6" name="PivotTable6"/>
    <pivotTable tabId="6" name="PivotTable7"/>
    <pivotTable tabId="6" name="PivotTable12"/>
    <pivotTable tabId="6" name="PivotTable13"/>
    <pivotTable tabId="6" name="PivotTable14"/>
    <pivotTable tabId="6" name="PivotTable15"/>
    <pivotTable tabId="6" name="PivotTable16"/>
  </pivotTables>
  <data>
    <olap pivotCacheId="2124073743">
      <levels count="2">
        <level uniqueName="[Supply_Chain_Index_Comparison].[Date (Year)].[(All)]" sourceCaption="(All)" count="0"/>
        <level uniqueName="[Supply_Chain_Index_Comparison].[Date (Year)].[Date (Year)]" sourceCaption="Date (Year)" count="24">
          <ranges>
            <range startItem="0">
              <i n="[Supply_Chain_Index_Comparison].[Date (Year)].&amp;[2003]" c="2003"/>
              <i n="[Supply_Chain_Index_Comparison].[Date (Year)].&amp;[2004]" c="2004"/>
              <i n="[Supply_Chain_Index_Comparison].[Date (Year)].&amp;[2005]" c="2005"/>
              <i n="[Supply_Chain_Index_Comparison].[Date (Year)].&amp;[2006]" c="2006"/>
              <i n="[Supply_Chain_Index_Comparison].[Date (Year)].&amp;[2007]" c="2007"/>
              <i n="[Supply_Chain_Index_Comparison].[Date (Year)].&amp;[2008]" c="2008"/>
              <i n="[Supply_Chain_Index_Comparison].[Date (Year)].&amp;[2009]" c="2009"/>
              <i n="[Supply_Chain_Index_Comparison].[Date (Year)].&amp;[2010]" c="2010"/>
              <i n="[Supply_Chain_Index_Comparison].[Date (Year)].&amp;[2011]" c="2011"/>
              <i n="[Supply_Chain_Index_Comparison].[Date (Year)].&amp;[2012]" c="2012"/>
              <i n="[Supply_Chain_Index_Comparison].[Date (Year)].&amp;[2013]" c="2013"/>
              <i n="[Supply_Chain_Index_Comparison].[Date (Year)].&amp;[2014]" c="2014"/>
              <i n="[Supply_Chain_Index_Comparison].[Date (Year)].&amp;[2015]" c="2015"/>
              <i n="[Supply_Chain_Index_Comparison].[Date (Year)].&amp;[2016]" c="2016"/>
              <i n="[Supply_Chain_Index_Comparison].[Date (Year)].&amp;[2017]" c="2017"/>
              <i n="[Supply_Chain_Index_Comparison].[Date (Year)].&amp;[2018]" c="2018"/>
              <i n="[Supply_Chain_Index_Comparison].[Date (Year)].&amp;[2019]" c="2019"/>
              <i n="[Supply_Chain_Index_Comparison].[Date (Year)].&amp;[2020]" c="2020"/>
              <i n="[Supply_Chain_Index_Comparison].[Date (Year)].&amp;[2021]" c="2021"/>
              <i n="[Supply_Chain_Index_Comparison].[Date (Year)].&amp;[2022]" c="2022"/>
              <i n="[Supply_Chain_Index_Comparison].[Date (Year)].&amp;[2023]" c="2023"/>
              <i n="[Supply_Chain_Index_Comparison].[Date (Year)].&amp;[2024]" c="2024"/>
              <i n="[Supply_Chain_Index_Comparison].[Date (Year)].&amp;[2025]" c="2025"/>
              <i n="[Supply_Chain_Index_Comparison].[Date (Year)].&amp;[2026]" c="2026"/>
            </range>
          </ranges>
        </level>
      </levels>
      <selections count="1">
        <selection n="[Supply_Chain_Index_Comparison].[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A5FBFA17-E753-41FE-A049-7044093E34A2}" cache="Slicer_Date__Year" caption="Year" columnCount="12" level="1" style="SlicerStyleDark5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7EB4B3-4504-40A6-9768-6BCBF8255C2F}" name="Air_Freight_Index" displayName="Air_Freight_Index" ref="A1:B268" tableType="queryTable" totalsRowShown="0" headerRowDxfId="268" dataDxfId="267">
  <autoFilter ref="A1:B268" xr:uid="{947EB4B3-4504-40A6-9768-6BCBF8255C2F}"/>
  <tableColumns count="2">
    <tableColumn id="1" xr3:uid="{64F57EFC-85AA-4734-B728-A12E1471B2BB}" uniqueName="1" name="Date" queryTableFieldId="1" dataDxfId="266"/>
    <tableColumn id="2" xr3:uid="{9FA37BBD-83DC-40CA-B59E-2271B6F43A52}" uniqueName="2" name="Air_Freight_Index" queryTableFieldId="2" dataDxfId="2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D06BF8-0B78-4EB3-B88D-9B3C6AD84C43}" name="Deep_Sea_Freight_Index" displayName="Deep_Sea_Freight_Index" ref="A1:B454" tableType="queryTable" totalsRowShown="0" headerRowDxfId="107" dataDxfId="106">
  <autoFilter ref="A1:B454" xr:uid="{B2D06BF8-0B78-4EB3-B88D-9B3C6AD84C43}"/>
  <tableColumns count="2">
    <tableColumn id="1" xr3:uid="{2F63D230-FF9A-4638-A945-235FE5E97B11}" uniqueName="1" name="Date" queryTableFieldId="1" dataDxfId="109"/>
    <tableColumn id="3" xr3:uid="{94466FD6-B01D-427D-9FF1-844B1B11DA41}" uniqueName="3" name="Sea_Freight_Index" queryTableFieldId="3" dataDxfId="10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5771EE-DC0B-45EC-B96E-7EBA18316B3E}" name="Supply_Chain_Index_Comparison" displayName="Supply_Chain_Index_Comparison" ref="A1:C268" tableType="queryTable" totalsRowShown="0" headerRowDxfId="105" dataDxfId="104">
  <autoFilter ref="A1:C268" xr:uid="{5C5771EE-DC0B-45EC-B96E-7EBA18316B3E}"/>
  <tableColumns count="3">
    <tableColumn id="1" xr3:uid="{600AAB8A-55FB-4CBE-9787-3ED4F8B59DD2}" uniqueName="1" name="Date" queryTableFieldId="1" dataDxfId="103"/>
    <tableColumn id="2" xr3:uid="{93BDD33E-EDD2-4DDB-A943-0F3AFBE763FD}" uniqueName="2" name="Sea_Freight_Index" queryTableFieldId="2" dataDxfId="102"/>
    <tableColumn id="3" xr3:uid="{587BC243-1452-496D-8EBA-438F9F09645E}" uniqueName="3" name="Air_Freight_Index" queryTableFieldId="3" dataDxfId="1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1.xml"/><Relationship Id="rId4" Type="http://schemas.openxmlformats.org/officeDocument/2006/relationships/pivotTable" Target="../pivotTables/pivotTable6.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8D59-F4E0-41A3-B5BF-0967EC25CBBC}">
  <dimension ref="A1:B268"/>
  <sheetViews>
    <sheetView workbookViewId="0">
      <selection activeCell="A7" sqref="A7"/>
    </sheetView>
  </sheetViews>
  <sheetFormatPr defaultRowHeight="15" x14ac:dyDescent="0.25"/>
  <cols>
    <col min="1" max="1" width="10.42578125" style="1" bestFit="1" customWidth="1"/>
    <col min="2" max="2" width="21.5703125" style="1" bestFit="1" customWidth="1"/>
    <col min="3" max="16384" width="9.140625" style="1"/>
  </cols>
  <sheetData>
    <row r="1" spans="1:2" x14ac:dyDescent="0.25">
      <c r="A1" s="1" t="s">
        <v>0</v>
      </c>
      <c r="B1" s="1" t="s">
        <v>1</v>
      </c>
    </row>
    <row r="2" spans="1:2" x14ac:dyDescent="0.25">
      <c r="A2" s="2">
        <v>37956</v>
      </c>
      <c r="B2" s="1">
        <v>100</v>
      </c>
    </row>
    <row r="3" spans="1:2" x14ac:dyDescent="0.25">
      <c r="A3" s="2">
        <v>37987</v>
      </c>
      <c r="B3" s="1">
        <v>101.5</v>
      </c>
    </row>
    <row r="4" spans="1:2" x14ac:dyDescent="0.25">
      <c r="A4" s="2">
        <v>38018</v>
      </c>
      <c r="B4" s="1">
        <v>100.5</v>
      </c>
    </row>
    <row r="5" spans="1:2" x14ac:dyDescent="0.25">
      <c r="A5" s="2">
        <v>38047</v>
      </c>
      <c r="B5" s="1">
        <v>97.6</v>
      </c>
    </row>
    <row r="6" spans="1:2" x14ac:dyDescent="0.25">
      <c r="A6" s="2">
        <v>38078</v>
      </c>
      <c r="B6" s="1">
        <v>97.5</v>
      </c>
    </row>
    <row r="7" spans="1:2" x14ac:dyDescent="0.25">
      <c r="A7" s="2">
        <v>38108</v>
      </c>
      <c r="B7" s="1">
        <v>97.5</v>
      </c>
    </row>
    <row r="8" spans="1:2" x14ac:dyDescent="0.25">
      <c r="A8" s="2">
        <v>38139</v>
      </c>
      <c r="B8" s="1">
        <v>98.4</v>
      </c>
    </row>
    <row r="9" spans="1:2" x14ac:dyDescent="0.25">
      <c r="A9" s="2">
        <v>38169</v>
      </c>
      <c r="B9" s="1">
        <v>101.8</v>
      </c>
    </row>
    <row r="10" spans="1:2" x14ac:dyDescent="0.25">
      <c r="A10" s="2">
        <v>38200</v>
      </c>
      <c r="B10" s="1">
        <v>101.8</v>
      </c>
    </row>
    <row r="11" spans="1:2" x14ac:dyDescent="0.25">
      <c r="A11" s="2">
        <v>38231</v>
      </c>
      <c r="B11" s="1">
        <v>101.8</v>
      </c>
    </row>
    <row r="12" spans="1:2" x14ac:dyDescent="0.25">
      <c r="A12" s="2">
        <v>38261</v>
      </c>
      <c r="B12" s="1">
        <v>100.8</v>
      </c>
    </row>
    <row r="13" spans="1:2" x14ac:dyDescent="0.25">
      <c r="A13" s="2">
        <v>38292</v>
      </c>
      <c r="B13" s="1">
        <v>100.8</v>
      </c>
    </row>
    <row r="14" spans="1:2" x14ac:dyDescent="0.25">
      <c r="A14" s="2">
        <v>38322</v>
      </c>
      <c r="B14" s="1">
        <v>102.3</v>
      </c>
    </row>
    <row r="15" spans="1:2" x14ac:dyDescent="0.25">
      <c r="A15" s="2">
        <v>38353</v>
      </c>
      <c r="B15" s="1">
        <v>101.7</v>
      </c>
    </row>
    <row r="16" spans="1:2" x14ac:dyDescent="0.25">
      <c r="A16" s="2">
        <v>38384</v>
      </c>
      <c r="B16" s="1">
        <v>101.7</v>
      </c>
    </row>
    <row r="17" spans="1:2" x14ac:dyDescent="0.25">
      <c r="A17" s="2">
        <v>38412</v>
      </c>
      <c r="B17" s="1">
        <v>102.2</v>
      </c>
    </row>
    <row r="18" spans="1:2" x14ac:dyDescent="0.25">
      <c r="A18" s="2">
        <v>38443</v>
      </c>
      <c r="B18" s="1">
        <v>103</v>
      </c>
    </row>
    <row r="19" spans="1:2" x14ac:dyDescent="0.25">
      <c r="A19" s="2">
        <v>38473</v>
      </c>
      <c r="B19" s="1">
        <v>103.6</v>
      </c>
    </row>
    <row r="20" spans="1:2" x14ac:dyDescent="0.25">
      <c r="A20" s="2">
        <v>38504</v>
      </c>
      <c r="B20" s="1">
        <v>104.2</v>
      </c>
    </row>
    <row r="21" spans="1:2" x14ac:dyDescent="0.25">
      <c r="A21" s="2">
        <v>38534</v>
      </c>
      <c r="B21" s="1">
        <v>105.3</v>
      </c>
    </row>
    <row r="22" spans="1:2" x14ac:dyDescent="0.25">
      <c r="A22" s="2">
        <v>38565</v>
      </c>
      <c r="B22" s="1">
        <v>105.8</v>
      </c>
    </row>
    <row r="23" spans="1:2" x14ac:dyDescent="0.25">
      <c r="A23" s="2">
        <v>38596</v>
      </c>
      <c r="B23" s="1">
        <v>106.9</v>
      </c>
    </row>
    <row r="24" spans="1:2" x14ac:dyDescent="0.25">
      <c r="A24" s="2">
        <v>38626</v>
      </c>
      <c r="B24" s="1">
        <v>108.4</v>
      </c>
    </row>
    <row r="25" spans="1:2" x14ac:dyDescent="0.25">
      <c r="A25" s="2">
        <v>38657</v>
      </c>
      <c r="B25" s="1">
        <v>108.5</v>
      </c>
    </row>
    <row r="26" spans="1:2" x14ac:dyDescent="0.25">
      <c r="A26" s="2">
        <v>38687</v>
      </c>
      <c r="B26" s="1">
        <v>107.9</v>
      </c>
    </row>
    <row r="27" spans="1:2" x14ac:dyDescent="0.25">
      <c r="A27" s="2">
        <v>38718</v>
      </c>
      <c r="B27" s="1">
        <v>107.8</v>
      </c>
    </row>
    <row r="28" spans="1:2" x14ac:dyDescent="0.25">
      <c r="A28" s="2">
        <v>38749</v>
      </c>
      <c r="B28" s="1">
        <v>108.6</v>
      </c>
    </row>
    <row r="29" spans="1:2" x14ac:dyDescent="0.25">
      <c r="A29" s="2">
        <v>38777</v>
      </c>
      <c r="B29" s="1">
        <v>110.8</v>
      </c>
    </row>
    <row r="30" spans="1:2" x14ac:dyDescent="0.25">
      <c r="A30" s="2">
        <v>38808</v>
      </c>
      <c r="B30" s="1">
        <v>106.9</v>
      </c>
    </row>
    <row r="31" spans="1:2" x14ac:dyDescent="0.25">
      <c r="A31" s="2">
        <v>38838</v>
      </c>
      <c r="B31" s="1">
        <v>109.1</v>
      </c>
    </row>
    <row r="32" spans="1:2" x14ac:dyDescent="0.25">
      <c r="A32" s="2">
        <v>38869</v>
      </c>
      <c r="B32" s="1">
        <v>110.1</v>
      </c>
    </row>
    <row r="33" spans="1:2" x14ac:dyDescent="0.25">
      <c r="A33" s="2">
        <v>38899</v>
      </c>
      <c r="B33" s="1">
        <v>111.3</v>
      </c>
    </row>
    <row r="34" spans="1:2" x14ac:dyDescent="0.25">
      <c r="A34" s="2">
        <v>38930</v>
      </c>
      <c r="B34" s="1">
        <v>107.8</v>
      </c>
    </row>
    <row r="35" spans="1:2" x14ac:dyDescent="0.25">
      <c r="A35" s="2">
        <v>38961</v>
      </c>
      <c r="B35" s="1">
        <v>107.9</v>
      </c>
    </row>
    <row r="36" spans="1:2" x14ac:dyDescent="0.25">
      <c r="A36" s="2">
        <v>38991</v>
      </c>
      <c r="B36" s="1">
        <v>107.3</v>
      </c>
    </row>
    <row r="37" spans="1:2" x14ac:dyDescent="0.25">
      <c r="A37" s="2">
        <v>39022</v>
      </c>
      <c r="B37" s="1">
        <v>106.7</v>
      </c>
    </row>
    <row r="38" spans="1:2" x14ac:dyDescent="0.25">
      <c r="A38" s="2">
        <v>39052</v>
      </c>
      <c r="B38" s="1">
        <v>106.7</v>
      </c>
    </row>
    <row r="39" spans="1:2" x14ac:dyDescent="0.25">
      <c r="A39" s="2">
        <v>39083</v>
      </c>
      <c r="B39" s="1">
        <v>106.9</v>
      </c>
    </row>
    <row r="40" spans="1:2" x14ac:dyDescent="0.25">
      <c r="A40" s="2">
        <v>39114</v>
      </c>
      <c r="B40" s="1">
        <v>106</v>
      </c>
    </row>
    <row r="41" spans="1:2" x14ac:dyDescent="0.25">
      <c r="A41" s="2">
        <v>39142</v>
      </c>
      <c r="B41" s="1">
        <v>106</v>
      </c>
    </row>
    <row r="42" spans="1:2" x14ac:dyDescent="0.25">
      <c r="A42" s="2">
        <v>39173</v>
      </c>
      <c r="B42" s="1">
        <v>106.2</v>
      </c>
    </row>
    <row r="43" spans="1:2" x14ac:dyDescent="0.25">
      <c r="A43" s="2">
        <v>39203</v>
      </c>
      <c r="B43" s="1">
        <v>109.4</v>
      </c>
    </row>
    <row r="44" spans="1:2" x14ac:dyDescent="0.25">
      <c r="A44" s="2">
        <v>39234</v>
      </c>
      <c r="B44" s="1">
        <v>109.4</v>
      </c>
    </row>
    <row r="45" spans="1:2" x14ac:dyDescent="0.25">
      <c r="A45" s="2">
        <v>39264</v>
      </c>
      <c r="B45" s="1">
        <v>109.4</v>
      </c>
    </row>
    <row r="46" spans="1:2" x14ac:dyDescent="0.25">
      <c r="A46" s="2">
        <v>39295</v>
      </c>
      <c r="B46" s="1">
        <v>109.4</v>
      </c>
    </row>
    <row r="47" spans="1:2" x14ac:dyDescent="0.25">
      <c r="A47" s="2">
        <v>39326</v>
      </c>
      <c r="B47" s="1">
        <v>109.6</v>
      </c>
    </row>
    <row r="48" spans="1:2" x14ac:dyDescent="0.25">
      <c r="A48" s="2">
        <v>39356</v>
      </c>
      <c r="B48" s="1">
        <v>111.2</v>
      </c>
    </row>
    <row r="49" spans="1:2" x14ac:dyDescent="0.25">
      <c r="A49" s="2">
        <v>39387</v>
      </c>
      <c r="B49" s="1">
        <v>109.5</v>
      </c>
    </row>
    <row r="50" spans="1:2" x14ac:dyDescent="0.25">
      <c r="A50" s="2">
        <v>39417</v>
      </c>
      <c r="B50" s="1">
        <v>115.4</v>
      </c>
    </row>
    <row r="51" spans="1:2" x14ac:dyDescent="0.25">
      <c r="A51" s="2">
        <v>39448</v>
      </c>
      <c r="B51" s="1">
        <v>116.3</v>
      </c>
    </row>
    <row r="52" spans="1:2" x14ac:dyDescent="0.25">
      <c r="A52" s="2">
        <v>39479</v>
      </c>
      <c r="B52" s="1">
        <v>116.4</v>
      </c>
    </row>
    <row r="53" spans="1:2" x14ac:dyDescent="0.25">
      <c r="A53" s="2">
        <v>39508</v>
      </c>
      <c r="B53" s="1">
        <v>119.3</v>
      </c>
    </row>
    <row r="54" spans="1:2" x14ac:dyDescent="0.25">
      <c r="A54" s="2">
        <v>39539</v>
      </c>
      <c r="B54" s="1">
        <v>126.8</v>
      </c>
    </row>
    <row r="55" spans="1:2" x14ac:dyDescent="0.25">
      <c r="A55" s="2">
        <v>39569</v>
      </c>
      <c r="B55" s="1">
        <v>129.1</v>
      </c>
    </row>
    <row r="56" spans="1:2" x14ac:dyDescent="0.25">
      <c r="A56" s="2">
        <v>39600</v>
      </c>
      <c r="B56" s="1">
        <v>132.6</v>
      </c>
    </row>
    <row r="57" spans="1:2" x14ac:dyDescent="0.25">
      <c r="A57" s="2">
        <v>39630</v>
      </c>
      <c r="B57" s="1">
        <v>132.69999999999999</v>
      </c>
    </row>
    <row r="58" spans="1:2" x14ac:dyDescent="0.25">
      <c r="A58" s="2">
        <v>39661</v>
      </c>
      <c r="B58" s="1">
        <v>136.19999999999999</v>
      </c>
    </row>
    <row r="59" spans="1:2" x14ac:dyDescent="0.25">
      <c r="A59" s="2">
        <v>39692</v>
      </c>
      <c r="B59" s="1">
        <v>133.6</v>
      </c>
    </row>
    <row r="60" spans="1:2" x14ac:dyDescent="0.25">
      <c r="A60" s="2">
        <v>39722</v>
      </c>
      <c r="B60" s="1">
        <v>131.30000000000001</v>
      </c>
    </row>
    <row r="61" spans="1:2" x14ac:dyDescent="0.25">
      <c r="A61" s="2">
        <v>39753</v>
      </c>
      <c r="B61" s="1">
        <v>129.5</v>
      </c>
    </row>
    <row r="62" spans="1:2" x14ac:dyDescent="0.25">
      <c r="A62" s="2">
        <v>39783</v>
      </c>
      <c r="B62" s="1">
        <v>129.6</v>
      </c>
    </row>
    <row r="63" spans="1:2" x14ac:dyDescent="0.25">
      <c r="A63" s="2">
        <v>39814</v>
      </c>
      <c r="B63" s="1">
        <v>127.6</v>
      </c>
    </row>
    <row r="64" spans="1:2" x14ac:dyDescent="0.25">
      <c r="A64" s="2">
        <v>39845</v>
      </c>
      <c r="B64" s="1">
        <v>123.6</v>
      </c>
    </row>
    <row r="65" spans="1:2" x14ac:dyDescent="0.25">
      <c r="A65" s="2">
        <v>39873</v>
      </c>
      <c r="B65" s="1">
        <v>119</v>
      </c>
    </row>
    <row r="66" spans="1:2" x14ac:dyDescent="0.25">
      <c r="A66" s="2">
        <v>39904</v>
      </c>
      <c r="B66" s="1">
        <v>117.7</v>
      </c>
    </row>
    <row r="67" spans="1:2" x14ac:dyDescent="0.25">
      <c r="A67" s="2">
        <v>39934</v>
      </c>
      <c r="B67" s="1">
        <v>118.6</v>
      </c>
    </row>
    <row r="68" spans="1:2" x14ac:dyDescent="0.25">
      <c r="A68" s="2">
        <v>39965</v>
      </c>
      <c r="B68" s="1">
        <v>116</v>
      </c>
    </row>
    <row r="69" spans="1:2" x14ac:dyDescent="0.25">
      <c r="A69" s="2">
        <v>39995</v>
      </c>
      <c r="B69" s="1">
        <v>116.4</v>
      </c>
    </row>
    <row r="70" spans="1:2" x14ac:dyDescent="0.25">
      <c r="A70" s="2">
        <v>40026</v>
      </c>
      <c r="B70" s="1">
        <v>116.5</v>
      </c>
    </row>
    <row r="71" spans="1:2" x14ac:dyDescent="0.25">
      <c r="A71" s="2">
        <v>40057</v>
      </c>
      <c r="B71" s="1">
        <v>116.7</v>
      </c>
    </row>
    <row r="72" spans="1:2" x14ac:dyDescent="0.25">
      <c r="A72" s="2">
        <v>40087</v>
      </c>
      <c r="B72" s="1">
        <v>116.7</v>
      </c>
    </row>
    <row r="73" spans="1:2" x14ac:dyDescent="0.25">
      <c r="A73" s="2">
        <v>40118</v>
      </c>
      <c r="B73" s="1">
        <v>120.2</v>
      </c>
    </row>
    <row r="74" spans="1:2" x14ac:dyDescent="0.25">
      <c r="A74" s="2">
        <v>40148</v>
      </c>
      <c r="B74" s="1">
        <v>120.3</v>
      </c>
    </row>
    <row r="75" spans="1:2" x14ac:dyDescent="0.25">
      <c r="A75" s="2">
        <v>40179</v>
      </c>
      <c r="B75" s="1">
        <v>125.7</v>
      </c>
    </row>
    <row r="76" spans="1:2" x14ac:dyDescent="0.25">
      <c r="A76" s="2">
        <v>40210</v>
      </c>
      <c r="B76" s="1">
        <v>129.5</v>
      </c>
    </row>
    <row r="77" spans="1:2" x14ac:dyDescent="0.25">
      <c r="A77" s="2">
        <v>40238</v>
      </c>
      <c r="B77" s="1">
        <v>129.4</v>
      </c>
    </row>
    <row r="78" spans="1:2" x14ac:dyDescent="0.25">
      <c r="A78" s="2">
        <v>40269</v>
      </c>
      <c r="B78" s="1">
        <v>129.5</v>
      </c>
    </row>
    <row r="79" spans="1:2" x14ac:dyDescent="0.25">
      <c r="A79" s="2">
        <v>40299</v>
      </c>
      <c r="B79" s="1">
        <v>129.9</v>
      </c>
    </row>
    <row r="80" spans="1:2" x14ac:dyDescent="0.25">
      <c r="A80" s="2">
        <v>40330</v>
      </c>
      <c r="B80" s="1">
        <v>129.9</v>
      </c>
    </row>
    <row r="81" spans="1:2" x14ac:dyDescent="0.25">
      <c r="A81" s="2">
        <v>40360</v>
      </c>
      <c r="B81" s="1">
        <v>129.80000000000001</v>
      </c>
    </row>
    <row r="82" spans="1:2" x14ac:dyDescent="0.25">
      <c r="A82" s="2">
        <v>40391</v>
      </c>
      <c r="B82" s="1">
        <v>129.9</v>
      </c>
    </row>
    <row r="83" spans="1:2" x14ac:dyDescent="0.25">
      <c r="A83" s="2">
        <v>40422</v>
      </c>
      <c r="B83" s="1">
        <v>129.9</v>
      </c>
    </row>
    <row r="84" spans="1:2" x14ac:dyDescent="0.25">
      <c r="A84" s="2">
        <v>40452</v>
      </c>
      <c r="B84" s="1">
        <v>132.4</v>
      </c>
    </row>
    <row r="85" spans="1:2" x14ac:dyDescent="0.25">
      <c r="A85" s="2">
        <v>40483</v>
      </c>
      <c r="B85" s="1">
        <v>132.4</v>
      </c>
    </row>
    <row r="86" spans="1:2" x14ac:dyDescent="0.25">
      <c r="A86" s="2">
        <v>40513</v>
      </c>
      <c r="B86" s="1">
        <v>134.1</v>
      </c>
    </row>
    <row r="87" spans="1:2" x14ac:dyDescent="0.25">
      <c r="A87" s="2">
        <v>40544</v>
      </c>
      <c r="B87" s="1">
        <v>134.80000000000001</v>
      </c>
    </row>
    <row r="88" spans="1:2" x14ac:dyDescent="0.25">
      <c r="A88" s="2">
        <v>40575</v>
      </c>
      <c r="B88" s="1">
        <v>135.80000000000001</v>
      </c>
    </row>
    <row r="89" spans="1:2" x14ac:dyDescent="0.25">
      <c r="A89" s="2">
        <v>40603</v>
      </c>
      <c r="B89" s="1">
        <v>140.5</v>
      </c>
    </row>
    <row r="90" spans="1:2" x14ac:dyDescent="0.25">
      <c r="A90" s="2">
        <v>40634</v>
      </c>
      <c r="B90" s="1">
        <v>143.9</v>
      </c>
    </row>
    <row r="91" spans="1:2" x14ac:dyDescent="0.25">
      <c r="A91" s="2">
        <v>40664</v>
      </c>
      <c r="B91" s="1">
        <v>146.19999999999999</v>
      </c>
    </row>
    <row r="92" spans="1:2" x14ac:dyDescent="0.25">
      <c r="A92" s="2">
        <v>40695</v>
      </c>
      <c r="B92" s="1">
        <v>149.5</v>
      </c>
    </row>
    <row r="93" spans="1:2" x14ac:dyDescent="0.25">
      <c r="A93" s="2">
        <v>40725</v>
      </c>
      <c r="B93" s="1">
        <v>148.80000000000001</v>
      </c>
    </row>
    <row r="94" spans="1:2" x14ac:dyDescent="0.25">
      <c r="A94" s="2">
        <v>40756</v>
      </c>
      <c r="B94" s="1">
        <v>148.6</v>
      </c>
    </row>
    <row r="95" spans="1:2" x14ac:dyDescent="0.25">
      <c r="A95" s="2">
        <v>40787</v>
      </c>
      <c r="B95" s="1">
        <v>149.30000000000001</v>
      </c>
    </row>
    <row r="96" spans="1:2" x14ac:dyDescent="0.25">
      <c r="A96" s="2">
        <v>40817</v>
      </c>
      <c r="B96" s="1">
        <v>149.4</v>
      </c>
    </row>
    <row r="97" spans="1:2" x14ac:dyDescent="0.25">
      <c r="A97" s="2">
        <v>40848</v>
      </c>
      <c r="B97" s="1">
        <v>149.4</v>
      </c>
    </row>
    <row r="98" spans="1:2" x14ac:dyDescent="0.25">
      <c r="A98" s="2">
        <v>40878</v>
      </c>
      <c r="B98" s="1">
        <v>154.80000000000001</v>
      </c>
    </row>
    <row r="99" spans="1:2" x14ac:dyDescent="0.25">
      <c r="A99" s="2">
        <v>40909</v>
      </c>
      <c r="B99" s="1">
        <v>155.30000000000001</v>
      </c>
    </row>
    <row r="100" spans="1:2" x14ac:dyDescent="0.25">
      <c r="A100" s="2">
        <v>40940</v>
      </c>
      <c r="B100" s="1">
        <v>155.80000000000001</v>
      </c>
    </row>
    <row r="101" spans="1:2" x14ac:dyDescent="0.25">
      <c r="A101" s="2">
        <v>40969</v>
      </c>
      <c r="B101" s="1">
        <v>156.19999999999999</v>
      </c>
    </row>
    <row r="102" spans="1:2" x14ac:dyDescent="0.25">
      <c r="A102" s="2">
        <v>41000</v>
      </c>
      <c r="B102" s="1">
        <v>156.69999999999999</v>
      </c>
    </row>
    <row r="103" spans="1:2" x14ac:dyDescent="0.25">
      <c r="A103" s="2">
        <v>41030</v>
      </c>
      <c r="B103" s="1">
        <v>156.30000000000001</v>
      </c>
    </row>
    <row r="104" spans="1:2" x14ac:dyDescent="0.25">
      <c r="A104" s="2">
        <v>41061</v>
      </c>
      <c r="B104" s="1">
        <v>155.80000000000001</v>
      </c>
    </row>
    <row r="105" spans="1:2" x14ac:dyDescent="0.25">
      <c r="A105" s="2">
        <v>41091</v>
      </c>
      <c r="B105" s="1">
        <v>155.30000000000001</v>
      </c>
    </row>
    <row r="106" spans="1:2" x14ac:dyDescent="0.25">
      <c r="A106" s="2">
        <v>41122</v>
      </c>
      <c r="B106" s="1">
        <v>155.30000000000001</v>
      </c>
    </row>
    <row r="107" spans="1:2" x14ac:dyDescent="0.25">
      <c r="A107" s="2">
        <v>41153</v>
      </c>
      <c r="B107" s="1">
        <v>155.80000000000001</v>
      </c>
    </row>
    <row r="108" spans="1:2" x14ac:dyDescent="0.25">
      <c r="A108" s="2">
        <v>41183</v>
      </c>
      <c r="B108" s="1">
        <v>156.1</v>
      </c>
    </row>
    <row r="109" spans="1:2" x14ac:dyDescent="0.25">
      <c r="A109" s="2">
        <v>41214</v>
      </c>
      <c r="B109" s="1">
        <v>155.9</v>
      </c>
    </row>
    <row r="110" spans="1:2" x14ac:dyDescent="0.25">
      <c r="A110" s="2">
        <v>41244</v>
      </c>
      <c r="B110" s="1">
        <v>155.6</v>
      </c>
    </row>
    <row r="111" spans="1:2" x14ac:dyDescent="0.25">
      <c r="A111" s="2">
        <v>41275</v>
      </c>
      <c r="B111" s="1">
        <v>156.30000000000001</v>
      </c>
    </row>
    <row r="112" spans="1:2" x14ac:dyDescent="0.25">
      <c r="A112" s="2">
        <v>41306</v>
      </c>
      <c r="B112" s="1">
        <v>156.4</v>
      </c>
    </row>
    <row r="113" spans="1:2" x14ac:dyDescent="0.25">
      <c r="A113" s="2">
        <v>41334</v>
      </c>
      <c r="B113" s="1">
        <v>156.9</v>
      </c>
    </row>
    <row r="114" spans="1:2" x14ac:dyDescent="0.25">
      <c r="A114" s="2">
        <v>41365</v>
      </c>
      <c r="B114" s="1">
        <v>156.6</v>
      </c>
    </row>
    <row r="115" spans="1:2" x14ac:dyDescent="0.25">
      <c r="A115" s="2">
        <v>41395</v>
      </c>
      <c r="B115" s="1">
        <v>156.30000000000001</v>
      </c>
    </row>
    <row r="116" spans="1:2" x14ac:dyDescent="0.25">
      <c r="A116" s="2">
        <v>41426</v>
      </c>
      <c r="B116" s="1">
        <v>156</v>
      </c>
    </row>
    <row r="117" spans="1:2" x14ac:dyDescent="0.25">
      <c r="A117" s="2">
        <v>41456</v>
      </c>
      <c r="B117" s="1">
        <v>156.5</v>
      </c>
    </row>
    <row r="118" spans="1:2" x14ac:dyDescent="0.25">
      <c r="A118" s="2">
        <v>41487</v>
      </c>
      <c r="B118" s="1">
        <v>156.80000000000001</v>
      </c>
    </row>
    <row r="119" spans="1:2" x14ac:dyDescent="0.25">
      <c r="A119" s="2">
        <v>41518</v>
      </c>
      <c r="B119" s="1">
        <v>157.19999999999999</v>
      </c>
    </row>
    <row r="120" spans="1:2" x14ac:dyDescent="0.25">
      <c r="A120" s="2">
        <v>41548</v>
      </c>
      <c r="B120" s="1">
        <v>157.30000000000001</v>
      </c>
    </row>
    <row r="121" spans="1:2" x14ac:dyDescent="0.25">
      <c r="A121" s="2">
        <v>41579</v>
      </c>
      <c r="B121" s="1">
        <v>157.30000000000001</v>
      </c>
    </row>
    <row r="122" spans="1:2" x14ac:dyDescent="0.25">
      <c r="A122" s="2">
        <v>41609</v>
      </c>
      <c r="B122" s="1">
        <v>157.19999999999999</v>
      </c>
    </row>
    <row r="123" spans="1:2" x14ac:dyDescent="0.25">
      <c r="A123" s="2">
        <v>41640</v>
      </c>
      <c r="B123" s="1">
        <v>157.30000000000001</v>
      </c>
    </row>
    <row r="124" spans="1:2" x14ac:dyDescent="0.25">
      <c r="A124" s="2">
        <v>41671</v>
      </c>
      <c r="B124" s="1">
        <v>157.1</v>
      </c>
    </row>
    <row r="125" spans="1:2" x14ac:dyDescent="0.25">
      <c r="A125" s="2">
        <v>41699</v>
      </c>
      <c r="B125" s="1">
        <v>158.1</v>
      </c>
    </row>
    <row r="126" spans="1:2" x14ac:dyDescent="0.25">
      <c r="A126" s="2">
        <v>41730</v>
      </c>
      <c r="B126" s="1">
        <v>157.30000000000001</v>
      </c>
    </row>
    <row r="127" spans="1:2" x14ac:dyDescent="0.25">
      <c r="A127" s="2">
        <v>41760</v>
      </c>
      <c r="B127" s="1">
        <v>157.6</v>
      </c>
    </row>
    <row r="128" spans="1:2" x14ac:dyDescent="0.25">
      <c r="A128" s="2">
        <v>41791</v>
      </c>
      <c r="B128" s="1">
        <v>157.69999999999999</v>
      </c>
    </row>
    <row r="129" spans="1:2" x14ac:dyDescent="0.25">
      <c r="A129" s="2">
        <v>41821</v>
      </c>
      <c r="B129" s="1">
        <v>157.5</v>
      </c>
    </row>
    <row r="130" spans="1:2" x14ac:dyDescent="0.25">
      <c r="A130" s="2">
        <v>41852</v>
      </c>
      <c r="B130" s="1">
        <v>157.30000000000001</v>
      </c>
    </row>
    <row r="131" spans="1:2" x14ac:dyDescent="0.25">
      <c r="A131" s="2">
        <v>41883</v>
      </c>
      <c r="B131" s="1">
        <v>157.4</v>
      </c>
    </row>
    <row r="132" spans="1:2" x14ac:dyDescent="0.25">
      <c r="A132" s="2">
        <v>41913</v>
      </c>
      <c r="B132" s="1">
        <v>156.80000000000001</v>
      </c>
    </row>
    <row r="133" spans="1:2" x14ac:dyDescent="0.25">
      <c r="A133" s="2">
        <v>41944</v>
      </c>
      <c r="B133" s="1">
        <v>155.5</v>
      </c>
    </row>
    <row r="134" spans="1:2" x14ac:dyDescent="0.25">
      <c r="A134" s="2">
        <v>41974</v>
      </c>
      <c r="B134" s="1">
        <v>154.80000000000001</v>
      </c>
    </row>
    <row r="135" spans="1:2" x14ac:dyDescent="0.25">
      <c r="A135" s="2">
        <v>42005</v>
      </c>
      <c r="B135" s="1">
        <v>150.69999999999999</v>
      </c>
    </row>
    <row r="136" spans="1:2" x14ac:dyDescent="0.25">
      <c r="A136" s="2">
        <v>42036</v>
      </c>
      <c r="B136" s="1">
        <v>150.69999999999999</v>
      </c>
    </row>
    <row r="137" spans="1:2" x14ac:dyDescent="0.25">
      <c r="A137" s="2">
        <v>42064</v>
      </c>
      <c r="B137" s="1">
        <v>150.9</v>
      </c>
    </row>
    <row r="138" spans="1:2" x14ac:dyDescent="0.25">
      <c r="A138" s="2">
        <v>42095</v>
      </c>
      <c r="B138" s="1">
        <v>154.19999999999999</v>
      </c>
    </row>
    <row r="139" spans="1:2" x14ac:dyDescent="0.25">
      <c r="A139" s="2">
        <v>42125</v>
      </c>
      <c r="B139" s="1">
        <v>155.4</v>
      </c>
    </row>
    <row r="140" spans="1:2" x14ac:dyDescent="0.25">
      <c r="A140" s="2">
        <v>42156</v>
      </c>
      <c r="B140" s="1">
        <v>154.69999999999999</v>
      </c>
    </row>
    <row r="141" spans="1:2" x14ac:dyDescent="0.25">
      <c r="A141" s="2">
        <v>42186</v>
      </c>
      <c r="B141" s="1">
        <v>149.19999999999999</v>
      </c>
    </row>
    <row r="142" spans="1:2" x14ac:dyDescent="0.25">
      <c r="A142" s="2">
        <v>42217</v>
      </c>
      <c r="B142" s="1">
        <v>148.69999999999999</v>
      </c>
    </row>
    <row r="143" spans="1:2" x14ac:dyDescent="0.25">
      <c r="A143" s="2">
        <v>42248</v>
      </c>
      <c r="B143" s="1">
        <v>145.30000000000001</v>
      </c>
    </row>
    <row r="144" spans="1:2" x14ac:dyDescent="0.25">
      <c r="A144" s="2">
        <v>42278</v>
      </c>
      <c r="B144" s="1">
        <v>152.5</v>
      </c>
    </row>
    <row r="145" spans="1:2" x14ac:dyDescent="0.25">
      <c r="A145" s="2">
        <v>42309</v>
      </c>
      <c r="B145" s="1">
        <v>151.4</v>
      </c>
    </row>
    <row r="146" spans="1:2" x14ac:dyDescent="0.25">
      <c r="A146" s="2">
        <v>42339</v>
      </c>
      <c r="B146" s="1">
        <v>153.30000000000001</v>
      </c>
    </row>
    <row r="147" spans="1:2" x14ac:dyDescent="0.25">
      <c r="A147" s="2">
        <v>42370</v>
      </c>
      <c r="B147" s="1">
        <v>155.30000000000001</v>
      </c>
    </row>
    <row r="148" spans="1:2" x14ac:dyDescent="0.25">
      <c r="A148" s="2">
        <v>42401</v>
      </c>
      <c r="B148" s="1">
        <v>153.5</v>
      </c>
    </row>
    <row r="149" spans="1:2" x14ac:dyDescent="0.25">
      <c r="A149" s="2">
        <v>42430</v>
      </c>
      <c r="B149" s="1">
        <v>152.69999999999999</v>
      </c>
    </row>
    <row r="150" spans="1:2" x14ac:dyDescent="0.25">
      <c r="A150" s="2">
        <v>42461</v>
      </c>
      <c r="B150" s="1">
        <v>151.9</v>
      </c>
    </row>
    <row r="151" spans="1:2" x14ac:dyDescent="0.25">
      <c r="A151" s="2">
        <v>42491</v>
      </c>
      <c r="B151" s="1">
        <v>154.1</v>
      </c>
    </row>
    <row r="152" spans="1:2" x14ac:dyDescent="0.25">
      <c r="A152" s="2">
        <v>42522</v>
      </c>
      <c r="B152" s="1">
        <v>148.19999999999999</v>
      </c>
    </row>
    <row r="153" spans="1:2" x14ac:dyDescent="0.25">
      <c r="A153" s="2">
        <v>42552</v>
      </c>
      <c r="B153" s="1">
        <v>153.5</v>
      </c>
    </row>
    <row r="154" spans="1:2" x14ac:dyDescent="0.25">
      <c r="A154" s="2">
        <v>42583</v>
      </c>
      <c r="B154" s="1">
        <v>151.1</v>
      </c>
    </row>
    <row r="155" spans="1:2" x14ac:dyDescent="0.25">
      <c r="A155" s="2">
        <v>42614</v>
      </c>
      <c r="B155" s="1">
        <v>148.80000000000001</v>
      </c>
    </row>
    <row r="156" spans="1:2" x14ac:dyDescent="0.25">
      <c r="A156" s="2">
        <v>42644</v>
      </c>
      <c r="B156" s="1">
        <v>147.9</v>
      </c>
    </row>
    <row r="157" spans="1:2" x14ac:dyDescent="0.25">
      <c r="A157" s="2">
        <v>42675</v>
      </c>
      <c r="B157" s="1">
        <v>148.69999999999999</v>
      </c>
    </row>
    <row r="158" spans="1:2" x14ac:dyDescent="0.25">
      <c r="A158" s="2">
        <v>42705</v>
      </c>
      <c r="B158" s="1">
        <v>151.80000000000001</v>
      </c>
    </row>
    <row r="159" spans="1:2" x14ac:dyDescent="0.25">
      <c r="A159" s="2">
        <v>42736</v>
      </c>
      <c r="B159" s="1">
        <v>151.69999999999999</v>
      </c>
    </row>
    <row r="160" spans="1:2" x14ac:dyDescent="0.25">
      <c r="A160" s="2">
        <v>42767</v>
      </c>
      <c r="B160" s="1">
        <v>148.80000000000001</v>
      </c>
    </row>
    <row r="161" spans="1:2" x14ac:dyDescent="0.25">
      <c r="A161" s="2">
        <v>42795</v>
      </c>
      <c r="B161" s="1">
        <v>150.6</v>
      </c>
    </row>
    <row r="162" spans="1:2" x14ac:dyDescent="0.25">
      <c r="A162" s="2">
        <v>42826</v>
      </c>
      <c r="B162" s="1">
        <v>149.69999999999999</v>
      </c>
    </row>
    <row r="163" spans="1:2" x14ac:dyDescent="0.25">
      <c r="A163" s="2">
        <v>42856</v>
      </c>
      <c r="B163" s="1">
        <v>147.30000000000001</v>
      </c>
    </row>
    <row r="164" spans="1:2" x14ac:dyDescent="0.25">
      <c r="A164" s="2">
        <v>42887</v>
      </c>
      <c r="B164" s="1">
        <v>152</v>
      </c>
    </row>
    <row r="165" spans="1:2" x14ac:dyDescent="0.25">
      <c r="A165" s="2">
        <v>42917</v>
      </c>
      <c r="B165" s="1">
        <v>149.6</v>
      </c>
    </row>
    <row r="166" spans="1:2" x14ac:dyDescent="0.25">
      <c r="A166" s="2">
        <v>42948</v>
      </c>
      <c r="B166" s="1">
        <v>150.4</v>
      </c>
    </row>
    <row r="167" spans="1:2" x14ac:dyDescent="0.25">
      <c r="A167" s="2">
        <v>42979</v>
      </c>
      <c r="B167" s="1">
        <v>151.19999999999999</v>
      </c>
    </row>
    <row r="168" spans="1:2" x14ac:dyDescent="0.25">
      <c r="A168" s="2">
        <v>43009</v>
      </c>
      <c r="B168" s="1">
        <v>150.4</v>
      </c>
    </row>
    <row r="169" spans="1:2" x14ac:dyDescent="0.25">
      <c r="A169" s="2">
        <v>43040</v>
      </c>
      <c r="B169" s="1">
        <v>151.19999999999999</v>
      </c>
    </row>
    <row r="170" spans="1:2" x14ac:dyDescent="0.25">
      <c r="A170" s="2">
        <v>43070</v>
      </c>
      <c r="B170" s="1">
        <v>151.9</v>
      </c>
    </row>
    <row r="171" spans="1:2" x14ac:dyDescent="0.25">
      <c r="A171" s="2">
        <v>43101</v>
      </c>
      <c r="B171" s="1">
        <v>152</v>
      </c>
    </row>
    <row r="172" spans="1:2" x14ac:dyDescent="0.25">
      <c r="A172" s="2">
        <v>43132</v>
      </c>
      <c r="B172" s="1">
        <v>152.5</v>
      </c>
    </row>
    <row r="173" spans="1:2" x14ac:dyDescent="0.25">
      <c r="A173" s="2">
        <v>43160</v>
      </c>
      <c r="B173" s="1">
        <v>154.9</v>
      </c>
    </row>
    <row r="174" spans="1:2" x14ac:dyDescent="0.25">
      <c r="A174" s="2">
        <v>43191</v>
      </c>
      <c r="B174" s="1">
        <v>151.69999999999999</v>
      </c>
    </row>
    <row r="175" spans="1:2" x14ac:dyDescent="0.25">
      <c r="A175" s="2">
        <v>43221</v>
      </c>
      <c r="B175" s="1">
        <v>156.9</v>
      </c>
    </row>
    <row r="176" spans="1:2" x14ac:dyDescent="0.25">
      <c r="A176" s="2">
        <v>43252</v>
      </c>
      <c r="B176" s="1">
        <v>154.1</v>
      </c>
    </row>
    <row r="177" spans="1:2" x14ac:dyDescent="0.25">
      <c r="A177" s="2">
        <v>43282</v>
      </c>
      <c r="B177" s="1">
        <v>153.9</v>
      </c>
    </row>
    <row r="178" spans="1:2" x14ac:dyDescent="0.25">
      <c r="A178" s="2">
        <v>43313</v>
      </c>
      <c r="B178" s="1">
        <v>153.1</v>
      </c>
    </row>
    <row r="179" spans="1:2" x14ac:dyDescent="0.25">
      <c r="A179" s="2">
        <v>43344</v>
      </c>
      <c r="B179" s="1">
        <v>153.6</v>
      </c>
    </row>
    <row r="180" spans="1:2" x14ac:dyDescent="0.25">
      <c r="A180" s="2">
        <v>43374</v>
      </c>
      <c r="B180" s="1">
        <v>155.30000000000001</v>
      </c>
    </row>
    <row r="181" spans="1:2" x14ac:dyDescent="0.25">
      <c r="A181" s="2">
        <v>43405</v>
      </c>
      <c r="B181" s="1">
        <v>156.30000000000001</v>
      </c>
    </row>
    <row r="182" spans="1:2" x14ac:dyDescent="0.25">
      <c r="A182" s="2">
        <v>43435</v>
      </c>
      <c r="B182" s="1">
        <v>154.9</v>
      </c>
    </row>
    <row r="183" spans="1:2" x14ac:dyDescent="0.25">
      <c r="A183" s="2">
        <v>43466</v>
      </c>
      <c r="B183" s="1">
        <v>150.9</v>
      </c>
    </row>
    <row r="184" spans="1:2" x14ac:dyDescent="0.25">
      <c r="A184" s="2">
        <v>43497</v>
      </c>
      <c r="B184" s="1">
        <v>151</v>
      </c>
    </row>
    <row r="185" spans="1:2" x14ac:dyDescent="0.25">
      <c r="A185" s="2">
        <v>43525</v>
      </c>
      <c r="B185" s="1">
        <v>151.4</v>
      </c>
    </row>
    <row r="186" spans="1:2" x14ac:dyDescent="0.25">
      <c r="A186" s="2">
        <v>43556</v>
      </c>
      <c r="B186" s="1">
        <v>152.1</v>
      </c>
    </row>
    <row r="187" spans="1:2" x14ac:dyDescent="0.25">
      <c r="A187" s="2">
        <v>43586</v>
      </c>
      <c r="B187" s="1">
        <v>154.1</v>
      </c>
    </row>
    <row r="188" spans="1:2" x14ac:dyDescent="0.25">
      <c r="A188" s="2">
        <v>43617</v>
      </c>
      <c r="B188" s="1">
        <v>155.1</v>
      </c>
    </row>
    <row r="189" spans="1:2" x14ac:dyDescent="0.25">
      <c r="A189" s="2">
        <v>43647</v>
      </c>
      <c r="B189" s="1">
        <v>155.19999999999999</v>
      </c>
    </row>
    <row r="190" spans="1:2" x14ac:dyDescent="0.25">
      <c r="A190" s="2">
        <v>43678</v>
      </c>
      <c r="B190" s="1">
        <v>154.4</v>
      </c>
    </row>
    <row r="191" spans="1:2" x14ac:dyDescent="0.25">
      <c r="A191" s="2">
        <v>43709</v>
      </c>
      <c r="B191" s="1">
        <v>153.80000000000001</v>
      </c>
    </row>
    <row r="192" spans="1:2" x14ac:dyDescent="0.25">
      <c r="A192" s="2">
        <v>43739</v>
      </c>
      <c r="B192" s="1">
        <v>154.30000000000001</v>
      </c>
    </row>
    <row r="193" spans="1:2" x14ac:dyDescent="0.25">
      <c r="A193" s="2">
        <v>43770</v>
      </c>
      <c r="B193" s="1">
        <v>156.19999999999999</v>
      </c>
    </row>
    <row r="194" spans="1:2" x14ac:dyDescent="0.25">
      <c r="A194" s="2">
        <v>43800</v>
      </c>
      <c r="B194" s="1">
        <v>157.1</v>
      </c>
    </row>
    <row r="195" spans="1:2" x14ac:dyDescent="0.25">
      <c r="A195" s="2">
        <v>43831</v>
      </c>
      <c r="B195" s="1">
        <v>156</v>
      </c>
    </row>
    <row r="196" spans="1:2" x14ac:dyDescent="0.25">
      <c r="A196" s="2">
        <v>43862</v>
      </c>
      <c r="B196" s="1">
        <v>155.5</v>
      </c>
    </row>
    <row r="197" spans="1:2" x14ac:dyDescent="0.25">
      <c r="A197" s="2">
        <v>43891</v>
      </c>
      <c r="B197" s="1">
        <v>152.30000000000001</v>
      </c>
    </row>
    <row r="198" spans="1:2" x14ac:dyDescent="0.25">
      <c r="A198" s="2">
        <v>43922</v>
      </c>
      <c r="B198" s="1">
        <v>152.4</v>
      </c>
    </row>
    <row r="199" spans="1:2" x14ac:dyDescent="0.25">
      <c r="A199" s="2">
        <v>43952</v>
      </c>
      <c r="B199" s="1">
        <v>155.80000000000001</v>
      </c>
    </row>
    <row r="200" spans="1:2" x14ac:dyDescent="0.25">
      <c r="A200" s="2">
        <v>43983</v>
      </c>
      <c r="B200" s="1">
        <v>156.19999999999999</v>
      </c>
    </row>
    <row r="201" spans="1:2" x14ac:dyDescent="0.25">
      <c r="A201" s="2">
        <v>44013</v>
      </c>
      <c r="B201" s="1">
        <v>157.4</v>
      </c>
    </row>
    <row r="202" spans="1:2" x14ac:dyDescent="0.25">
      <c r="A202" s="2">
        <v>44044</v>
      </c>
      <c r="B202" s="1">
        <v>157.9</v>
      </c>
    </row>
    <row r="203" spans="1:2" x14ac:dyDescent="0.25">
      <c r="A203" s="2">
        <v>44075</v>
      </c>
      <c r="B203" s="1">
        <v>154.6</v>
      </c>
    </row>
    <row r="204" spans="1:2" x14ac:dyDescent="0.25">
      <c r="A204" s="2">
        <v>44105</v>
      </c>
      <c r="B204" s="1">
        <v>153.19999999999999</v>
      </c>
    </row>
    <row r="205" spans="1:2" x14ac:dyDescent="0.25">
      <c r="A205" s="2">
        <v>44136</v>
      </c>
      <c r="B205" s="1">
        <v>151.5</v>
      </c>
    </row>
    <row r="206" spans="1:2" x14ac:dyDescent="0.25">
      <c r="A206" s="2">
        <v>44166</v>
      </c>
      <c r="B206" s="1">
        <v>156.9</v>
      </c>
    </row>
    <row r="207" spans="1:2" x14ac:dyDescent="0.25">
      <c r="A207" s="2">
        <v>44197</v>
      </c>
      <c r="B207" s="1">
        <v>157.69999999999999</v>
      </c>
    </row>
    <row r="208" spans="1:2" x14ac:dyDescent="0.25">
      <c r="A208" s="2">
        <v>44228</v>
      </c>
      <c r="B208" s="1">
        <v>157.80000000000001</v>
      </c>
    </row>
    <row r="209" spans="1:2" x14ac:dyDescent="0.25">
      <c r="A209" s="2">
        <v>44256</v>
      </c>
      <c r="B209" s="1">
        <v>157.6</v>
      </c>
    </row>
    <row r="210" spans="1:2" x14ac:dyDescent="0.25">
      <c r="A210" s="2">
        <v>44287</v>
      </c>
      <c r="B210" s="1">
        <v>155.4</v>
      </c>
    </row>
    <row r="211" spans="1:2" x14ac:dyDescent="0.25">
      <c r="A211" s="2">
        <v>44317</v>
      </c>
      <c r="B211" s="1">
        <v>159.30000000000001</v>
      </c>
    </row>
    <row r="212" spans="1:2" x14ac:dyDescent="0.25">
      <c r="A212" s="2">
        <v>44348</v>
      </c>
      <c r="B212" s="1">
        <v>163.5</v>
      </c>
    </row>
    <row r="213" spans="1:2" x14ac:dyDescent="0.25">
      <c r="A213" s="2">
        <v>44378</v>
      </c>
      <c r="B213" s="1">
        <v>158.91999999999999</v>
      </c>
    </row>
    <row r="214" spans="1:2" x14ac:dyDescent="0.25">
      <c r="A214" s="2">
        <v>44409</v>
      </c>
      <c r="B214" s="1">
        <v>162.44300000000001</v>
      </c>
    </row>
    <row r="215" spans="1:2" x14ac:dyDescent="0.25">
      <c r="A215" s="2">
        <v>44440</v>
      </c>
      <c r="B215" s="1">
        <v>165.76599999999999</v>
      </c>
    </row>
    <row r="216" spans="1:2" x14ac:dyDescent="0.25">
      <c r="A216" s="2">
        <v>44470</v>
      </c>
      <c r="B216" s="1">
        <v>172.33199999999999</v>
      </c>
    </row>
    <row r="217" spans="1:2" x14ac:dyDescent="0.25">
      <c r="A217" s="2">
        <v>44501</v>
      </c>
      <c r="B217" s="1">
        <v>177.304</v>
      </c>
    </row>
    <row r="218" spans="1:2" x14ac:dyDescent="0.25">
      <c r="A218" s="2">
        <v>44531</v>
      </c>
      <c r="B218" s="1">
        <v>179.68899999999999</v>
      </c>
    </row>
    <row r="219" spans="1:2" x14ac:dyDescent="0.25">
      <c r="A219" s="2">
        <v>44562</v>
      </c>
      <c r="B219" s="1">
        <v>178.86799999999999</v>
      </c>
    </row>
    <row r="220" spans="1:2" x14ac:dyDescent="0.25">
      <c r="A220" s="2">
        <v>44593</v>
      </c>
      <c r="B220" s="1">
        <v>176.416</v>
      </c>
    </row>
    <row r="221" spans="1:2" x14ac:dyDescent="0.25">
      <c r="A221" s="2">
        <v>44621</v>
      </c>
      <c r="B221" s="1">
        <v>176.42400000000001</v>
      </c>
    </row>
    <row r="222" spans="1:2" x14ac:dyDescent="0.25">
      <c r="A222" s="2">
        <v>44652</v>
      </c>
      <c r="B222" s="1">
        <v>188.60300000000001</v>
      </c>
    </row>
    <row r="223" spans="1:2" x14ac:dyDescent="0.25">
      <c r="A223" s="2">
        <v>44682</v>
      </c>
      <c r="B223" s="1">
        <v>182.035</v>
      </c>
    </row>
    <row r="224" spans="1:2" x14ac:dyDescent="0.25">
      <c r="A224" s="2">
        <v>44713</v>
      </c>
      <c r="B224" s="1">
        <v>184.74299999999999</v>
      </c>
    </row>
    <row r="225" spans="1:2" x14ac:dyDescent="0.25">
      <c r="A225" s="2">
        <v>44743</v>
      </c>
      <c r="B225" s="1">
        <v>184.91399999999999</v>
      </c>
    </row>
    <row r="226" spans="1:2" x14ac:dyDescent="0.25">
      <c r="A226" s="2">
        <v>44774</v>
      </c>
      <c r="B226" s="1">
        <v>185.834</v>
      </c>
    </row>
    <row r="227" spans="1:2" x14ac:dyDescent="0.25">
      <c r="A227" s="2">
        <v>44805</v>
      </c>
      <c r="B227" s="1">
        <v>185.422</v>
      </c>
    </row>
    <row r="228" spans="1:2" x14ac:dyDescent="0.25">
      <c r="A228" s="2">
        <v>44835</v>
      </c>
      <c r="B228" s="1">
        <v>179.501</v>
      </c>
    </row>
    <row r="229" spans="1:2" x14ac:dyDescent="0.25">
      <c r="A229" s="2">
        <v>44866</v>
      </c>
      <c r="B229" s="1">
        <v>176.65899999999999</v>
      </c>
    </row>
    <row r="230" spans="1:2" x14ac:dyDescent="0.25">
      <c r="A230" s="2">
        <v>44896</v>
      </c>
      <c r="B230" s="1">
        <v>175.52799999999999</v>
      </c>
    </row>
    <row r="231" spans="1:2" x14ac:dyDescent="0.25">
      <c r="A231" s="2">
        <v>44927</v>
      </c>
      <c r="B231" s="1">
        <v>179.40799999999999</v>
      </c>
    </row>
    <row r="232" spans="1:2" x14ac:dyDescent="0.25">
      <c r="A232" s="2">
        <v>44958</v>
      </c>
      <c r="B232" s="1">
        <v>186.62</v>
      </c>
    </row>
    <row r="233" spans="1:2" x14ac:dyDescent="0.25">
      <c r="A233" s="2">
        <v>44986</v>
      </c>
      <c r="B233" s="1">
        <v>179.07400000000001</v>
      </c>
    </row>
    <row r="234" spans="1:2" x14ac:dyDescent="0.25">
      <c r="A234" s="2">
        <v>45017</v>
      </c>
      <c r="B234" s="1">
        <v>173.81299999999999</v>
      </c>
    </row>
    <row r="235" spans="1:2" x14ac:dyDescent="0.25">
      <c r="A235" s="2">
        <v>45047</v>
      </c>
      <c r="B235" s="1">
        <v>170.85900000000001</v>
      </c>
    </row>
    <row r="236" spans="1:2" x14ac:dyDescent="0.25">
      <c r="A236" s="2">
        <v>45078</v>
      </c>
      <c r="B236" s="1">
        <v>163.29400000000001</v>
      </c>
    </row>
    <row r="237" spans="1:2" x14ac:dyDescent="0.25">
      <c r="A237" s="2">
        <v>45108</v>
      </c>
      <c r="B237" s="1">
        <v>166.124</v>
      </c>
    </row>
    <row r="238" spans="1:2" x14ac:dyDescent="0.25">
      <c r="A238" s="2">
        <v>45139</v>
      </c>
      <c r="B238" s="1">
        <v>167.24600000000001</v>
      </c>
    </row>
    <row r="239" spans="1:2" x14ac:dyDescent="0.25">
      <c r="A239" s="2">
        <v>45170</v>
      </c>
      <c r="B239" s="1">
        <v>169.81200000000001</v>
      </c>
    </row>
    <row r="240" spans="1:2" x14ac:dyDescent="0.25">
      <c r="A240" s="2">
        <v>45200</v>
      </c>
      <c r="B240" s="1">
        <v>177.40299999999999</v>
      </c>
    </row>
    <row r="241" spans="1:2" x14ac:dyDescent="0.25">
      <c r="A241" s="2">
        <v>45231</v>
      </c>
      <c r="B241" s="1">
        <v>178.26599999999999</v>
      </c>
    </row>
    <row r="242" spans="1:2" x14ac:dyDescent="0.25">
      <c r="A242" s="2">
        <v>45261</v>
      </c>
      <c r="B242" s="1">
        <v>177.14500000000001</v>
      </c>
    </row>
    <row r="243" spans="1:2" x14ac:dyDescent="0.25">
      <c r="A243" s="2">
        <v>45292</v>
      </c>
      <c r="B243" s="1">
        <v>169.25899999999999</v>
      </c>
    </row>
    <row r="244" spans="1:2" x14ac:dyDescent="0.25">
      <c r="A244" s="2">
        <v>45323</v>
      </c>
      <c r="B244" s="1">
        <v>169.44200000000001</v>
      </c>
    </row>
    <row r="245" spans="1:2" x14ac:dyDescent="0.25">
      <c r="A245" s="2">
        <v>45352</v>
      </c>
      <c r="B245" s="1">
        <v>165.36600000000001</v>
      </c>
    </row>
    <row r="246" spans="1:2" x14ac:dyDescent="0.25">
      <c r="A246" s="2">
        <v>45383</v>
      </c>
      <c r="B246" s="1">
        <v>166.85400000000001</v>
      </c>
    </row>
    <row r="247" spans="1:2" x14ac:dyDescent="0.25">
      <c r="A247" s="2">
        <v>45413</v>
      </c>
      <c r="B247" s="1">
        <v>165.018</v>
      </c>
    </row>
    <row r="248" spans="1:2" x14ac:dyDescent="0.25">
      <c r="A248" s="2">
        <v>45444</v>
      </c>
      <c r="B248" s="1">
        <v>164.649</v>
      </c>
    </row>
    <row r="249" spans="1:2" x14ac:dyDescent="0.25">
      <c r="A249" s="2">
        <v>45474</v>
      </c>
      <c r="B249" s="1">
        <v>167.297</v>
      </c>
    </row>
    <row r="250" spans="1:2" x14ac:dyDescent="0.25">
      <c r="A250" s="2">
        <v>45505</v>
      </c>
      <c r="B250" s="1">
        <v>161.41499999999999</v>
      </c>
    </row>
    <row r="251" spans="1:2" x14ac:dyDescent="0.25">
      <c r="A251" s="2">
        <v>45536</v>
      </c>
      <c r="B251" s="1">
        <v>163.81800000000001</v>
      </c>
    </row>
    <row r="252" spans="1:2" x14ac:dyDescent="0.25">
      <c r="A252" s="2">
        <v>45566</v>
      </c>
      <c r="B252" s="1">
        <v>168.84</v>
      </c>
    </row>
    <row r="253" spans="1:2" x14ac:dyDescent="0.25">
      <c r="A253" s="2">
        <v>45597</v>
      </c>
      <c r="B253" s="1">
        <v>170.59700000000001</v>
      </c>
    </row>
    <row r="254" spans="1:2" x14ac:dyDescent="0.25">
      <c r="A254" s="2">
        <v>45627</v>
      </c>
      <c r="B254" s="1">
        <v>172.78899999999999</v>
      </c>
    </row>
    <row r="255" spans="1:2" x14ac:dyDescent="0.25">
      <c r="A255" s="2">
        <v>45658</v>
      </c>
      <c r="B255" s="1">
        <v>170.2</v>
      </c>
    </row>
    <row r="256" spans="1:2" x14ac:dyDescent="0.25">
      <c r="A256" s="2">
        <v>45689</v>
      </c>
      <c r="B256" s="1">
        <v>168.88800000000001</v>
      </c>
    </row>
    <row r="257" spans="1:2" x14ac:dyDescent="0.25">
      <c r="A257" s="2">
        <v>45717</v>
      </c>
      <c r="B257" s="1">
        <v>168.904</v>
      </c>
    </row>
    <row r="258" spans="1:2" x14ac:dyDescent="0.25">
      <c r="A258" s="2">
        <v>45748</v>
      </c>
      <c r="B258" s="1">
        <v>171.833</v>
      </c>
    </row>
    <row r="259" spans="1:2" x14ac:dyDescent="0.25">
      <c r="A259" s="2">
        <v>45778</v>
      </c>
      <c r="B259" s="1">
        <v>165.56399999999999</v>
      </c>
    </row>
    <row r="260" spans="1:2" x14ac:dyDescent="0.25">
      <c r="A260" s="2">
        <v>45809</v>
      </c>
      <c r="B260" s="1">
        <v>167.32300000000001</v>
      </c>
    </row>
    <row r="261" spans="1:2" x14ac:dyDescent="0.25">
      <c r="A261" s="2">
        <v>45839</v>
      </c>
      <c r="B261" s="1">
        <v>173.77600000000001</v>
      </c>
    </row>
    <row r="262" spans="1:2" x14ac:dyDescent="0.25">
      <c r="A262" s="2">
        <v>45870</v>
      </c>
      <c r="B262" s="1">
        <v>171.327</v>
      </c>
    </row>
    <row r="263" spans="1:2" x14ac:dyDescent="0.25">
      <c r="A263" s="2">
        <v>45901</v>
      </c>
      <c r="B263" s="1">
        <v>171.846</v>
      </c>
    </row>
    <row r="264" spans="1:2" x14ac:dyDescent="0.25">
      <c r="A264" s="2">
        <v>45931</v>
      </c>
      <c r="B264" s="1">
        <v>173.55500000000001</v>
      </c>
    </row>
    <row r="265" spans="1:2" x14ac:dyDescent="0.25">
      <c r="A265" s="2">
        <v>45962</v>
      </c>
      <c r="B265" s="1">
        <v>172.69399999999999</v>
      </c>
    </row>
    <row r="266" spans="1:2" x14ac:dyDescent="0.25">
      <c r="A266" s="2">
        <v>45992</v>
      </c>
      <c r="B266" s="1">
        <v>177.631</v>
      </c>
    </row>
    <row r="267" spans="1:2" x14ac:dyDescent="0.25">
      <c r="A267" s="2">
        <v>46023</v>
      </c>
      <c r="B267" s="1">
        <v>177.73599999999999</v>
      </c>
    </row>
    <row r="268" spans="1:2" x14ac:dyDescent="0.25">
      <c r="A268" s="2">
        <v>46054</v>
      </c>
      <c r="B268" s="1">
        <v>175.00800000000001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569A-9E8F-454F-B132-A2DD17984DA9}">
  <dimension ref="A1:B454"/>
  <sheetViews>
    <sheetView zoomScaleNormal="100" workbookViewId="0">
      <selection activeCell="D4" sqref="D4"/>
    </sheetView>
  </sheetViews>
  <sheetFormatPr defaultRowHeight="15" x14ac:dyDescent="0.25"/>
  <cols>
    <col min="1" max="1" width="17.28515625" style="1" customWidth="1"/>
    <col min="2" max="2" width="20" style="1" bestFit="1" customWidth="1"/>
    <col min="3" max="3" width="15.7109375" style="1" bestFit="1" customWidth="1"/>
    <col min="4" max="16384" width="9.140625" style="1"/>
  </cols>
  <sheetData>
    <row r="1" spans="1:2" x14ac:dyDescent="0.25">
      <c r="A1" s="1" t="s">
        <v>0</v>
      </c>
      <c r="B1" s="11" t="s">
        <v>2</v>
      </c>
    </row>
    <row r="2" spans="1:2" x14ac:dyDescent="0.25">
      <c r="A2" s="2">
        <v>32295</v>
      </c>
      <c r="B2" s="11">
        <v>100</v>
      </c>
    </row>
    <row r="3" spans="1:2" x14ac:dyDescent="0.25">
      <c r="A3" s="2">
        <v>32325</v>
      </c>
      <c r="B3" s="11">
        <v>104.6</v>
      </c>
    </row>
    <row r="4" spans="1:2" x14ac:dyDescent="0.25">
      <c r="A4" s="2">
        <v>32356</v>
      </c>
      <c r="B4" s="11">
        <v>102.6</v>
      </c>
    </row>
    <row r="5" spans="1:2" x14ac:dyDescent="0.25">
      <c r="A5" s="2">
        <v>32387</v>
      </c>
      <c r="B5" s="11">
        <v>107.2</v>
      </c>
    </row>
    <row r="6" spans="1:2" x14ac:dyDescent="0.25">
      <c r="A6" s="2">
        <v>32417</v>
      </c>
      <c r="B6" s="11">
        <v>102.1</v>
      </c>
    </row>
    <row r="7" spans="1:2" x14ac:dyDescent="0.25">
      <c r="A7" s="2">
        <v>32448</v>
      </c>
      <c r="B7" s="11">
        <v>102.5</v>
      </c>
    </row>
    <row r="8" spans="1:2" x14ac:dyDescent="0.25">
      <c r="A8" s="2">
        <v>32478</v>
      </c>
      <c r="B8" s="11">
        <v>106.1</v>
      </c>
    </row>
    <row r="9" spans="1:2" x14ac:dyDescent="0.25">
      <c r="A9" s="2">
        <v>32509</v>
      </c>
      <c r="B9" s="11">
        <v>105.9</v>
      </c>
    </row>
    <row r="10" spans="1:2" x14ac:dyDescent="0.25">
      <c r="A10" s="2">
        <v>32540</v>
      </c>
      <c r="B10" s="11">
        <v>106.1</v>
      </c>
    </row>
    <row r="11" spans="1:2" x14ac:dyDescent="0.25">
      <c r="A11" s="2">
        <v>32568</v>
      </c>
      <c r="B11" s="11">
        <v>107</v>
      </c>
    </row>
    <row r="12" spans="1:2" x14ac:dyDescent="0.25">
      <c r="A12" s="2">
        <v>32599</v>
      </c>
      <c r="B12" s="11">
        <v>106.7</v>
      </c>
    </row>
    <row r="13" spans="1:2" x14ac:dyDescent="0.25">
      <c r="A13" s="2">
        <v>32629</v>
      </c>
      <c r="B13" s="11">
        <v>106.5</v>
      </c>
    </row>
    <row r="14" spans="1:2" x14ac:dyDescent="0.25">
      <c r="A14" s="2">
        <v>32660</v>
      </c>
      <c r="B14" s="11">
        <v>106.1</v>
      </c>
    </row>
    <row r="15" spans="1:2" x14ac:dyDescent="0.25">
      <c r="A15" s="2">
        <v>32690</v>
      </c>
      <c r="B15" s="11">
        <v>106.6</v>
      </c>
    </row>
    <row r="16" spans="1:2" x14ac:dyDescent="0.25">
      <c r="A16" s="2">
        <v>32721</v>
      </c>
      <c r="B16" s="11">
        <v>106.7</v>
      </c>
    </row>
    <row r="17" spans="1:2" x14ac:dyDescent="0.25">
      <c r="A17" s="2">
        <v>32752</v>
      </c>
      <c r="B17" s="11">
        <v>106.5</v>
      </c>
    </row>
    <row r="18" spans="1:2" x14ac:dyDescent="0.25">
      <c r="A18" s="2">
        <v>32782</v>
      </c>
      <c r="B18" s="11">
        <v>106.2</v>
      </c>
    </row>
    <row r="19" spans="1:2" x14ac:dyDescent="0.25">
      <c r="A19" s="2">
        <v>32813</v>
      </c>
      <c r="B19" s="11">
        <v>106.2</v>
      </c>
    </row>
    <row r="20" spans="1:2" x14ac:dyDescent="0.25">
      <c r="A20" s="2">
        <v>32843</v>
      </c>
      <c r="B20" s="11">
        <v>106.3</v>
      </c>
    </row>
    <row r="21" spans="1:2" x14ac:dyDescent="0.25">
      <c r="A21" s="2">
        <v>32874</v>
      </c>
      <c r="B21" s="11">
        <v>107</v>
      </c>
    </row>
    <row r="22" spans="1:2" x14ac:dyDescent="0.25">
      <c r="A22" s="2">
        <v>32905</v>
      </c>
      <c r="B22" s="11">
        <v>107.3</v>
      </c>
    </row>
    <row r="23" spans="1:2" x14ac:dyDescent="0.25">
      <c r="A23" s="2">
        <v>32933</v>
      </c>
      <c r="B23" s="11">
        <v>107.2</v>
      </c>
    </row>
    <row r="24" spans="1:2" x14ac:dyDescent="0.25">
      <c r="A24" s="2">
        <v>32964</v>
      </c>
      <c r="B24" s="11">
        <v>111.2</v>
      </c>
    </row>
    <row r="25" spans="1:2" x14ac:dyDescent="0.25">
      <c r="A25" s="2">
        <v>32994</v>
      </c>
      <c r="B25" s="11">
        <v>112.9</v>
      </c>
    </row>
    <row r="26" spans="1:2" x14ac:dyDescent="0.25">
      <c r="A26" s="2">
        <v>33025</v>
      </c>
      <c r="B26" s="11">
        <v>113.7</v>
      </c>
    </row>
    <row r="27" spans="1:2" x14ac:dyDescent="0.25">
      <c r="A27" s="2">
        <v>33055</v>
      </c>
      <c r="B27" s="11">
        <v>117</v>
      </c>
    </row>
    <row r="28" spans="1:2" x14ac:dyDescent="0.25">
      <c r="A28" s="2">
        <v>33086</v>
      </c>
      <c r="B28" s="11">
        <v>116.6</v>
      </c>
    </row>
    <row r="29" spans="1:2" x14ac:dyDescent="0.25">
      <c r="A29" s="2">
        <v>33117</v>
      </c>
      <c r="B29" s="11">
        <v>116.8</v>
      </c>
    </row>
    <row r="30" spans="1:2" x14ac:dyDescent="0.25">
      <c r="A30" s="2">
        <v>33147</v>
      </c>
      <c r="B30" s="11">
        <v>116.7</v>
      </c>
    </row>
    <row r="31" spans="1:2" x14ac:dyDescent="0.25">
      <c r="A31" s="2">
        <v>33178</v>
      </c>
      <c r="B31" s="11">
        <v>116.2</v>
      </c>
    </row>
    <row r="32" spans="1:2" x14ac:dyDescent="0.25">
      <c r="A32" s="2">
        <v>33208</v>
      </c>
      <c r="B32" s="11">
        <v>115.9</v>
      </c>
    </row>
    <row r="33" spans="1:2" x14ac:dyDescent="0.25">
      <c r="A33" s="2">
        <v>33239</v>
      </c>
      <c r="B33" s="11">
        <v>117.3</v>
      </c>
    </row>
    <row r="34" spans="1:2" x14ac:dyDescent="0.25">
      <c r="A34" s="2">
        <v>33270</v>
      </c>
      <c r="B34" s="11">
        <v>119.2</v>
      </c>
    </row>
    <row r="35" spans="1:2" x14ac:dyDescent="0.25">
      <c r="A35" s="2">
        <v>33298</v>
      </c>
      <c r="B35" s="11">
        <v>119.4</v>
      </c>
    </row>
    <row r="36" spans="1:2" x14ac:dyDescent="0.25">
      <c r="A36" s="2">
        <v>33329</v>
      </c>
      <c r="B36" s="11">
        <v>118.5</v>
      </c>
    </row>
    <row r="37" spans="1:2" x14ac:dyDescent="0.25">
      <c r="A37" s="2">
        <v>33359</v>
      </c>
      <c r="B37" s="11">
        <v>118.8</v>
      </c>
    </row>
    <row r="38" spans="1:2" x14ac:dyDescent="0.25">
      <c r="A38" s="2">
        <v>33390</v>
      </c>
      <c r="B38" s="11">
        <v>117.2</v>
      </c>
    </row>
    <row r="39" spans="1:2" x14ac:dyDescent="0.25">
      <c r="A39" s="2">
        <v>33420</v>
      </c>
      <c r="B39" s="11">
        <v>118</v>
      </c>
    </row>
    <row r="40" spans="1:2" x14ac:dyDescent="0.25">
      <c r="A40" s="2">
        <v>33451</v>
      </c>
      <c r="B40" s="11">
        <v>117.7</v>
      </c>
    </row>
    <row r="41" spans="1:2" x14ac:dyDescent="0.25">
      <c r="A41" s="2">
        <v>33482</v>
      </c>
      <c r="B41" s="11">
        <v>122.6</v>
      </c>
    </row>
    <row r="42" spans="1:2" x14ac:dyDescent="0.25">
      <c r="A42" s="2">
        <v>33512</v>
      </c>
      <c r="B42" s="11">
        <v>122.6</v>
      </c>
    </row>
    <row r="43" spans="1:2" x14ac:dyDescent="0.25">
      <c r="A43" s="2">
        <v>33543</v>
      </c>
      <c r="B43" s="11">
        <v>122.6</v>
      </c>
    </row>
    <row r="44" spans="1:2" x14ac:dyDescent="0.25">
      <c r="A44" s="2">
        <v>33573</v>
      </c>
      <c r="B44" s="11">
        <v>122.6</v>
      </c>
    </row>
    <row r="45" spans="1:2" x14ac:dyDescent="0.25">
      <c r="A45" s="2">
        <v>33604</v>
      </c>
      <c r="B45" s="11">
        <v>120.1</v>
      </c>
    </row>
    <row r="46" spans="1:2" x14ac:dyDescent="0.25">
      <c r="A46" s="2">
        <v>33635</v>
      </c>
      <c r="B46" s="11">
        <v>120.7</v>
      </c>
    </row>
    <row r="47" spans="1:2" x14ac:dyDescent="0.25">
      <c r="A47" s="2">
        <v>33664</v>
      </c>
      <c r="B47" s="11">
        <v>116.9</v>
      </c>
    </row>
    <row r="48" spans="1:2" x14ac:dyDescent="0.25">
      <c r="A48" s="2">
        <v>33695</v>
      </c>
      <c r="B48" s="11">
        <v>116.7</v>
      </c>
    </row>
    <row r="49" spans="1:2" x14ac:dyDescent="0.25">
      <c r="A49" s="2">
        <v>33725</v>
      </c>
      <c r="B49" s="11">
        <v>116.9</v>
      </c>
    </row>
    <row r="50" spans="1:2" x14ac:dyDescent="0.25">
      <c r="A50" s="2">
        <v>33756</v>
      </c>
      <c r="B50" s="11">
        <v>115.6</v>
      </c>
    </row>
    <row r="51" spans="1:2" x14ac:dyDescent="0.25">
      <c r="A51" s="2">
        <v>33786</v>
      </c>
      <c r="B51" s="11">
        <v>116.5</v>
      </c>
    </row>
    <row r="52" spans="1:2" x14ac:dyDescent="0.25">
      <c r="A52" s="2">
        <v>33817</v>
      </c>
      <c r="B52" s="11">
        <v>117.2</v>
      </c>
    </row>
    <row r="53" spans="1:2" x14ac:dyDescent="0.25">
      <c r="A53" s="2">
        <v>33848</v>
      </c>
      <c r="B53" s="11">
        <v>116.4</v>
      </c>
    </row>
    <row r="54" spans="1:2" x14ac:dyDescent="0.25">
      <c r="A54" s="2">
        <v>33878</v>
      </c>
      <c r="B54" s="11">
        <v>116.3</v>
      </c>
    </row>
    <row r="55" spans="1:2" x14ac:dyDescent="0.25">
      <c r="A55" s="2">
        <v>33909</v>
      </c>
      <c r="B55" s="11">
        <v>116.2</v>
      </c>
    </row>
    <row r="56" spans="1:2" x14ac:dyDescent="0.25">
      <c r="A56" s="2">
        <v>33939</v>
      </c>
      <c r="B56" s="11">
        <v>115.8</v>
      </c>
    </row>
    <row r="57" spans="1:2" x14ac:dyDescent="0.25">
      <c r="A57" s="2">
        <v>33970</v>
      </c>
      <c r="B57" s="11">
        <v>116.2</v>
      </c>
    </row>
    <row r="58" spans="1:2" x14ac:dyDescent="0.25">
      <c r="A58" s="2">
        <v>34001</v>
      </c>
      <c r="B58" s="11">
        <v>116</v>
      </c>
    </row>
    <row r="59" spans="1:2" x14ac:dyDescent="0.25">
      <c r="A59" s="2">
        <v>34029</v>
      </c>
      <c r="B59" s="11">
        <v>115.3</v>
      </c>
    </row>
    <row r="60" spans="1:2" x14ac:dyDescent="0.25">
      <c r="A60" s="2">
        <v>34060</v>
      </c>
      <c r="B60" s="11">
        <v>116.2</v>
      </c>
    </row>
    <row r="61" spans="1:2" x14ac:dyDescent="0.25">
      <c r="A61" s="2">
        <v>34090</v>
      </c>
      <c r="B61" s="11">
        <v>116.3</v>
      </c>
    </row>
    <row r="62" spans="1:2" x14ac:dyDescent="0.25">
      <c r="A62" s="2">
        <v>34121</v>
      </c>
      <c r="B62" s="11">
        <v>116.6</v>
      </c>
    </row>
    <row r="63" spans="1:2" x14ac:dyDescent="0.25">
      <c r="A63" s="2">
        <v>34151</v>
      </c>
      <c r="B63" s="11">
        <v>116.5</v>
      </c>
    </row>
    <row r="64" spans="1:2" x14ac:dyDescent="0.25">
      <c r="A64" s="2">
        <v>34182</v>
      </c>
      <c r="B64" s="11">
        <v>116.7</v>
      </c>
    </row>
    <row r="65" spans="1:2" x14ac:dyDescent="0.25">
      <c r="A65" s="2">
        <v>34213</v>
      </c>
      <c r="B65" s="11">
        <v>116.5</v>
      </c>
    </row>
    <row r="66" spans="1:2" x14ac:dyDescent="0.25">
      <c r="A66" s="2">
        <v>34243</v>
      </c>
      <c r="B66" s="11">
        <v>115.9</v>
      </c>
    </row>
    <row r="67" spans="1:2" x14ac:dyDescent="0.25">
      <c r="A67" s="2">
        <v>34274</v>
      </c>
      <c r="B67" s="11">
        <v>116.2</v>
      </c>
    </row>
    <row r="68" spans="1:2" x14ac:dyDescent="0.25">
      <c r="A68" s="2">
        <v>34304</v>
      </c>
      <c r="B68" s="11">
        <v>116.7</v>
      </c>
    </row>
    <row r="69" spans="1:2" x14ac:dyDescent="0.25">
      <c r="A69" s="2">
        <v>34335</v>
      </c>
      <c r="B69" s="11">
        <v>115</v>
      </c>
    </row>
    <row r="70" spans="1:2" x14ac:dyDescent="0.25">
      <c r="A70" s="2">
        <v>34366</v>
      </c>
      <c r="B70" s="11">
        <v>114.7</v>
      </c>
    </row>
    <row r="71" spans="1:2" x14ac:dyDescent="0.25">
      <c r="A71" s="2">
        <v>34394</v>
      </c>
      <c r="B71" s="11">
        <v>114.5</v>
      </c>
    </row>
    <row r="72" spans="1:2" x14ac:dyDescent="0.25">
      <c r="A72" s="2">
        <v>34425</v>
      </c>
      <c r="B72" s="11">
        <v>114.5</v>
      </c>
    </row>
    <row r="73" spans="1:2" x14ac:dyDescent="0.25">
      <c r="A73" s="2">
        <v>34455</v>
      </c>
      <c r="B73" s="11">
        <v>116.2</v>
      </c>
    </row>
    <row r="74" spans="1:2" x14ac:dyDescent="0.25">
      <c r="A74" s="2">
        <v>34486</v>
      </c>
      <c r="B74" s="11">
        <v>114.3</v>
      </c>
    </row>
    <row r="75" spans="1:2" x14ac:dyDescent="0.25">
      <c r="A75" s="2">
        <v>34516</v>
      </c>
      <c r="B75" s="11">
        <v>114.7</v>
      </c>
    </row>
    <row r="76" spans="1:2" x14ac:dyDescent="0.25">
      <c r="A76" s="2">
        <v>34547</v>
      </c>
      <c r="B76" s="11">
        <v>115</v>
      </c>
    </row>
    <row r="77" spans="1:2" x14ac:dyDescent="0.25">
      <c r="A77" s="2">
        <v>34578</v>
      </c>
      <c r="B77" s="11">
        <v>112.6</v>
      </c>
    </row>
    <row r="78" spans="1:2" x14ac:dyDescent="0.25">
      <c r="A78" s="2">
        <v>34608</v>
      </c>
      <c r="B78" s="11">
        <v>115.6</v>
      </c>
    </row>
    <row r="79" spans="1:2" x14ac:dyDescent="0.25">
      <c r="A79" s="2">
        <v>34639</v>
      </c>
      <c r="B79" s="11">
        <v>112.5</v>
      </c>
    </row>
    <row r="80" spans="1:2" x14ac:dyDescent="0.25">
      <c r="A80" s="2">
        <v>34669</v>
      </c>
      <c r="B80" s="11">
        <v>112.7</v>
      </c>
    </row>
    <row r="81" spans="1:2" x14ac:dyDescent="0.25">
      <c r="A81" s="2">
        <v>34700</v>
      </c>
      <c r="B81" s="11">
        <v>112.7</v>
      </c>
    </row>
    <row r="82" spans="1:2" x14ac:dyDescent="0.25">
      <c r="A82" s="2">
        <v>34731</v>
      </c>
      <c r="B82" s="11">
        <v>113</v>
      </c>
    </row>
    <row r="83" spans="1:2" x14ac:dyDescent="0.25">
      <c r="A83" s="2">
        <v>34759</v>
      </c>
      <c r="B83" s="11">
        <v>112.6</v>
      </c>
    </row>
    <row r="84" spans="1:2" x14ac:dyDescent="0.25">
      <c r="A84" s="2">
        <v>34790</v>
      </c>
      <c r="B84" s="11">
        <v>112.8</v>
      </c>
    </row>
    <row r="85" spans="1:2" x14ac:dyDescent="0.25">
      <c r="A85" s="2">
        <v>34820</v>
      </c>
      <c r="B85" s="11">
        <v>114.1</v>
      </c>
    </row>
    <row r="86" spans="1:2" x14ac:dyDescent="0.25">
      <c r="A86" s="2">
        <v>34851</v>
      </c>
      <c r="B86" s="11">
        <v>113.7</v>
      </c>
    </row>
    <row r="87" spans="1:2" x14ac:dyDescent="0.25">
      <c r="A87" s="2">
        <v>34881</v>
      </c>
      <c r="B87" s="11">
        <v>113.7</v>
      </c>
    </row>
    <row r="88" spans="1:2" x14ac:dyDescent="0.25">
      <c r="A88" s="2">
        <v>34912</v>
      </c>
      <c r="B88" s="11">
        <v>113.9</v>
      </c>
    </row>
    <row r="89" spans="1:2" x14ac:dyDescent="0.25">
      <c r="A89" s="2">
        <v>34943</v>
      </c>
      <c r="B89" s="11">
        <v>114</v>
      </c>
    </row>
    <row r="90" spans="1:2" x14ac:dyDescent="0.25">
      <c r="A90" s="2">
        <v>34973</v>
      </c>
      <c r="B90" s="11">
        <v>113.6</v>
      </c>
    </row>
    <row r="91" spans="1:2" x14ac:dyDescent="0.25">
      <c r="A91" s="2">
        <v>35004</v>
      </c>
      <c r="B91" s="11">
        <v>113.4</v>
      </c>
    </row>
    <row r="92" spans="1:2" x14ac:dyDescent="0.25">
      <c r="A92" s="2">
        <v>35034</v>
      </c>
      <c r="B92" s="11">
        <v>113.6</v>
      </c>
    </row>
    <row r="93" spans="1:2" x14ac:dyDescent="0.25">
      <c r="A93" s="2">
        <v>35065</v>
      </c>
      <c r="B93" s="11">
        <v>113.3</v>
      </c>
    </row>
    <row r="94" spans="1:2" x14ac:dyDescent="0.25">
      <c r="A94" s="2">
        <v>35096</v>
      </c>
      <c r="B94" s="11">
        <v>113.8</v>
      </c>
    </row>
    <row r="95" spans="1:2" x14ac:dyDescent="0.25">
      <c r="A95" s="2">
        <v>35125</v>
      </c>
      <c r="B95" s="11">
        <v>114.6</v>
      </c>
    </row>
    <row r="96" spans="1:2" x14ac:dyDescent="0.25">
      <c r="A96" s="2">
        <v>35156</v>
      </c>
      <c r="B96" s="11">
        <v>114.1</v>
      </c>
    </row>
    <row r="97" spans="1:2" x14ac:dyDescent="0.25">
      <c r="A97" s="2">
        <v>35186</v>
      </c>
      <c r="B97" s="11">
        <v>114.1</v>
      </c>
    </row>
    <row r="98" spans="1:2" x14ac:dyDescent="0.25">
      <c r="A98" s="2">
        <v>35217</v>
      </c>
      <c r="B98" s="11">
        <v>114.1</v>
      </c>
    </row>
    <row r="99" spans="1:2" x14ac:dyDescent="0.25">
      <c r="A99" s="2">
        <v>35247</v>
      </c>
      <c r="B99" s="11">
        <v>114.6</v>
      </c>
    </row>
    <row r="100" spans="1:2" x14ac:dyDescent="0.25">
      <c r="A100" s="2">
        <v>35278</v>
      </c>
      <c r="B100" s="11">
        <v>114.5</v>
      </c>
    </row>
    <row r="101" spans="1:2" x14ac:dyDescent="0.25">
      <c r="A101" s="2">
        <v>35309</v>
      </c>
      <c r="B101" s="11">
        <v>114.5</v>
      </c>
    </row>
    <row r="102" spans="1:2" x14ac:dyDescent="0.25">
      <c r="A102" s="2">
        <v>35339</v>
      </c>
      <c r="B102" s="11">
        <v>114.5</v>
      </c>
    </row>
    <row r="103" spans="1:2" x14ac:dyDescent="0.25">
      <c r="A103" s="2">
        <v>35370</v>
      </c>
      <c r="B103" s="11">
        <v>114.5</v>
      </c>
    </row>
    <row r="104" spans="1:2" x14ac:dyDescent="0.25">
      <c r="A104" s="2">
        <v>35400</v>
      </c>
      <c r="B104" s="11">
        <v>114.5</v>
      </c>
    </row>
    <row r="105" spans="1:2" x14ac:dyDescent="0.25">
      <c r="A105" s="2">
        <v>35431</v>
      </c>
      <c r="B105" s="11">
        <v>113.8</v>
      </c>
    </row>
    <row r="106" spans="1:2" x14ac:dyDescent="0.25">
      <c r="A106" s="2">
        <v>35462</v>
      </c>
      <c r="B106" s="11">
        <v>114.5</v>
      </c>
    </row>
    <row r="107" spans="1:2" x14ac:dyDescent="0.25">
      <c r="A107" s="2">
        <v>35490</v>
      </c>
      <c r="B107" s="11">
        <v>114.3</v>
      </c>
    </row>
    <row r="108" spans="1:2" x14ac:dyDescent="0.25">
      <c r="A108" s="2">
        <v>35521</v>
      </c>
      <c r="B108" s="11">
        <v>113.8</v>
      </c>
    </row>
    <row r="109" spans="1:2" x14ac:dyDescent="0.25">
      <c r="A109" s="2">
        <v>35551</v>
      </c>
      <c r="B109" s="11">
        <v>114.3</v>
      </c>
    </row>
    <row r="110" spans="1:2" x14ac:dyDescent="0.25">
      <c r="A110" s="2">
        <v>35582</v>
      </c>
      <c r="B110" s="11">
        <v>116.3</v>
      </c>
    </row>
    <row r="111" spans="1:2" x14ac:dyDescent="0.25">
      <c r="A111" s="2">
        <v>35612</v>
      </c>
      <c r="B111" s="11">
        <v>113.3</v>
      </c>
    </row>
    <row r="112" spans="1:2" x14ac:dyDescent="0.25">
      <c r="A112" s="2">
        <v>35643</v>
      </c>
      <c r="B112" s="11">
        <v>114</v>
      </c>
    </row>
    <row r="113" spans="1:2" x14ac:dyDescent="0.25">
      <c r="A113" s="2">
        <v>35674</v>
      </c>
      <c r="B113" s="11">
        <v>110.7</v>
      </c>
    </row>
    <row r="114" spans="1:2" x14ac:dyDescent="0.25">
      <c r="A114" s="2">
        <v>35704</v>
      </c>
      <c r="B114" s="11">
        <v>111.9</v>
      </c>
    </row>
    <row r="115" spans="1:2" x14ac:dyDescent="0.25">
      <c r="A115" s="2">
        <v>35735</v>
      </c>
      <c r="B115" s="11">
        <v>111</v>
      </c>
    </row>
    <row r="116" spans="1:2" x14ac:dyDescent="0.25">
      <c r="A116" s="2">
        <v>35765</v>
      </c>
      <c r="B116" s="11">
        <v>110</v>
      </c>
    </row>
    <row r="117" spans="1:2" x14ac:dyDescent="0.25">
      <c r="A117" s="2">
        <v>35796</v>
      </c>
      <c r="B117" s="11">
        <v>111.9</v>
      </c>
    </row>
    <row r="118" spans="1:2" x14ac:dyDescent="0.25">
      <c r="A118" s="2">
        <v>35827</v>
      </c>
      <c r="B118" s="11">
        <v>111.1</v>
      </c>
    </row>
    <row r="119" spans="1:2" x14ac:dyDescent="0.25">
      <c r="A119" s="2">
        <v>35855</v>
      </c>
      <c r="B119" s="11">
        <v>109.7</v>
      </c>
    </row>
    <row r="120" spans="1:2" x14ac:dyDescent="0.25">
      <c r="A120" s="2">
        <v>35886</v>
      </c>
      <c r="B120" s="11">
        <v>109.1</v>
      </c>
    </row>
    <row r="121" spans="1:2" x14ac:dyDescent="0.25">
      <c r="A121" s="2">
        <v>35916</v>
      </c>
      <c r="B121" s="11">
        <v>118.3</v>
      </c>
    </row>
    <row r="122" spans="1:2" x14ac:dyDescent="0.25">
      <c r="A122" s="2">
        <v>35947</v>
      </c>
      <c r="B122" s="11">
        <v>120</v>
      </c>
    </row>
    <row r="123" spans="1:2" x14ac:dyDescent="0.25">
      <c r="A123" s="2">
        <v>35977</v>
      </c>
      <c r="B123" s="11">
        <v>122.9</v>
      </c>
    </row>
    <row r="124" spans="1:2" x14ac:dyDescent="0.25">
      <c r="A124" s="2">
        <v>36008</v>
      </c>
      <c r="B124" s="11">
        <v>122.9</v>
      </c>
    </row>
    <row r="125" spans="1:2" x14ac:dyDescent="0.25">
      <c r="A125" s="2">
        <v>36039</v>
      </c>
      <c r="B125" s="11">
        <v>123.2</v>
      </c>
    </row>
    <row r="126" spans="1:2" x14ac:dyDescent="0.25">
      <c r="A126" s="2">
        <v>36069</v>
      </c>
      <c r="B126" s="11">
        <v>120.6</v>
      </c>
    </row>
    <row r="127" spans="1:2" x14ac:dyDescent="0.25">
      <c r="A127" s="2">
        <v>36100</v>
      </c>
      <c r="B127" s="11">
        <v>118.8</v>
      </c>
    </row>
    <row r="128" spans="1:2" x14ac:dyDescent="0.25">
      <c r="A128" s="2">
        <v>36130</v>
      </c>
      <c r="B128" s="11">
        <v>115.4</v>
      </c>
    </row>
    <row r="129" spans="1:2" x14ac:dyDescent="0.25">
      <c r="A129" s="2">
        <v>36161</v>
      </c>
      <c r="B129" s="11">
        <v>115.3</v>
      </c>
    </row>
    <row r="130" spans="1:2" x14ac:dyDescent="0.25">
      <c r="A130" s="2">
        <v>36192</v>
      </c>
      <c r="B130" s="11">
        <v>115.3</v>
      </c>
    </row>
    <row r="131" spans="1:2" x14ac:dyDescent="0.25">
      <c r="A131" s="2">
        <v>36220</v>
      </c>
      <c r="B131" s="11">
        <v>114.6</v>
      </c>
    </row>
    <row r="132" spans="1:2" x14ac:dyDescent="0.25">
      <c r="A132" s="2">
        <v>36251</v>
      </c>
      <c r="B132" s="11">
        <v>114.6</v>
      </c>
    </row>
    <row r="133" spans="1:2" x14ac:dyDescent="0.25">
      <c r="A133" s="2">
        <v>36281</v>
      </c>
      <c r="B133" s="11">
        <v>141.5</v>
      </c>
    </row>
    <row r="134" spans="1:2" x14ac:dyDescent="0.25">
      <c r="A134" s="2">
        <v>36312</v>
      </c>
      <c r="B134" s="11">
        <v>148.30000000000001</v>
      </c>
    </row>
    <row r="135" spans="1:2" x14ac:dyDescent="0.25">
      <c r="A135" s="2">
        <v>36342</v>
      </c>
      <c r="B135" s="11">
        <v>146.80000000000001</v>
      </c>
    </row>
    <row r="136" spans="1:2" x14ac:dyDescent="0.25">
      <c r="A136" s="2">
        <v>36373</v>
      </c>
      <c r="B136" s="11">
        <v>146.6</v>
      </c>
    </row>
    <row r="137" spans="1:2" x14ac:dyDescent="0.25">
      <c r="A137" s="2">
        <v>36404</v>
      </c>
      <c r="B137" s="11">
        <v>147.1</v>
      </c>
    </row>
    <row r="138" spans="1:2" x14ac:dyDescent="0.25">
      <c r="A138" s="2">
        <v>36434</v>
      </c>
      <c r="B138" s="11">
        <v>144.30000000000001</v>
      </c>
    </row>
    <row r="139" spans="1:2" x14ac:dyDescent="0.25">
      <c r="A139" s="2">
        <v>36465</v>
      </c>
      <c r="B139" s="11">
        <v>144.5</v>
      </c>
    </row>
    <row r="140" spans="1:2" x14ac:dyDescent="0.25">
      <c r="A140" s="2">
        <v>36495</v>
      </c>
      <c r="B140" s="11">
        <v>143.19999999999999</v>
      </c>
    </row>
    <row r="141" spans="1:2" x14ac:dyDescent="0.25">
      <c r="A141" s="2">
        <v>36526</v>
      </c>
      <c r="B141" s="11">
        <v>143.19999999999999</v>
      </c>
    </row>
    <row r="142" spans="1:2" x14ac:dyDescent="0.25">
      <c r="A142" s="2">
        <v>36557</v>
      </c>
      <c r="B142" s="11">
        <v>143.5</v>
      </c>
    </row>
    <row r="143" spans="1:2" x14ac:dyDescent="0.25">
      <c r="A143" s="2">
        <v>36586</v>
      </c>
      <c r="B143" s="11">
        <v>144.80000000000001</v>
      </c>
    </row>
    <row r="144" spans="1:2" x14ac:dyDescent="0.25">
      <c r="A144" s="2">
        <v>36617</v>
      </c>
      <c r="B144" s="11">
        <v>147.19999999999999</v>
      </c>
    </row>
    <row r="145" spans="1:2" x14ac:dyDescent="0.25">
      <c r="A145" s="2">
        <v>36647</v>
      </c>
      <c r="B145" s="11">
        <v>163.1</v>
      </c>
    </row>
    <row r="146" spans="1:2" x14ac:dyDescent="0.25">
      <c r="A146" s="2">
        <v>36678</v>
      </c>
      <c r="B146" s="11">
        <v>164</v>
      </c>
    </row>
    <row r="147" spans="1:2" x14ac:dyDescent="0.25">
      <c r="A147" s="2">
        <v>36708</v>
      </c>
      <c r="B147" s="11">
        <v>165.3</v>
      </c>
    </row>
    <row r="148" spans="1:2" x14ac:dyDescent="0.25">
      <c r="A148" s="2">
        <v>36739</v>
      </c>
      <c r="B148" s="11">
        <v>167.5</v>
      </c>
    </row>
    <row r="149" spans="1:2" x14ac:dyDescent="0.25">
      <c r="A149" s="2">
        <v>36770</v>
      </c>
      <c r="B149" s="11">
        <v>168.6</v>
      </c>
    </row>
    <row r="150" spans="1:2" x14ac:dyDescent="0.25">
      <c r="A150" s="2">
        <v>36800</v>
      </c>
      <c r="B150" s="11">
        <v>167.6</v>
      </c>
    </row>
    <row r="151" spans="1:2" x14ac:dyDescent="0.25">
      <c r="A151" s="2">
        <v>36831</v>
      </c>
      <c r="B151" s="11">
        <v>161</v>
      </c>
    </row>
    <row r="152" spans="1:2" x14ac:dyDescent="0.25">
      <c r="A152" s="2">
        <v>36861</v>
      </c>
      <c r="B152" s="11">
        <v>162.30000000000001</v>
      </c>
    </row>
    <row r="153" spans="1:2" x14ac:dyDescent="0.25">
      <c r="A153" s="2">
        <v>36892</v>
      </c>
      <c r="B153" s="11">
        <v>165.2</v>
      </c>
    </row>
    <row r="154" spans="1:2" x14ac:dyDescent="0.25">
      <c r="A154" s="2">
        <v>36923</v>
      </c>
      <c r="B154" s="11">
        <v>167</v>
      </c>
    </row>
    <row r="155" spans="1:2" x14ac:dyDescent="0.25">
      <c r="A155" s="2">
        <v>36951</v>
      </c>
      <c r="B155" s="11">
        <v>165.5</v>
      </c>
    </row>
    <row r="156" spans="1:2" x14ac:dyDescent="0.25">
      <c r="A156" s="2">
        <v>36982</v>
      </c>
      <c r="B156" s="11">
        <v>161.1</v>
      </c>
    </row>
    <row r="157" spans="1:2" x14ac:dyDescent="0.25">
      <c r="A157" s="2">
        <v>37012</v>
      </c>
      <c r="B157" s="11">
        <v>174.2</v>
      </c>
    </row>
    <row r="158" spans="1:2" x14ac:dyDescent="0.25">
      <c r="A158" s="2">
        <v>37043</v>
      </c>
      <c r="B158" s="11">
        <v>174</v>
      </c>
    </row>
    <row r="159" spans="1:2" x14ac:dyDescent="0.25">
      <c r="A159" s="2">
        <v>37073</v>
      </c>
      <c r="B159" s="11">
        <v>187</v>
      </c>
    </row>
    <row r="160" spans="1:2" x14ac:dyDescent="0.25">
      <c r="A160" s="2">
        <v>37104</v>
      </c>
      <c r="B160" s="11">
        <v>186.5</v>
      </c>
    </row>
    <row r="161" spans="1:2" x14ac:dyDescent="0.25">
      <c r="A161" s="2">
        <v>37135</v>
      </c>
      <c r="B161" s="11">
        <v>188.1</v>
      </c>
    </row>
    <row r="162" spans="1:2" x14ac:dyDescent="0.25">
      <c r="A162" s="2">
        <v>37165</v>
      </c>
      <c r="B162" s="11">
        <v>186.4</v>
      </c>
    </row>
    <row r="163" spans="1:2" x14ac:dyDescent="0.25">
      <c r="A163" s="2">
        <v>37196</v>
      </c>
      <c r="B163" s="11">
        <v>175.7</v>
      </c>
    </row>
    <row r="164" spans="1:2" x14ac:dyDescent="0.25">
      <c r="A164" s="2">
        <v>37226</v>
      </c>
      <c r="B164" s="11">
        <v>174.9</v>
      </c>
    </row>
    <row r="165" spans="1:2" x14ac:dyDescent="0.25">
      <c r="A165" s="2">
        <v>37257</v>
      </c>
      <c r="B165" s="11">
        <v>174</v>
      </c>
    </row>
    <row r="166" spans="1:2" x14ac:dyDescent="0.25">
      <c r="A166" s="2">
        <v>37288</v>
      </c>
      <c r="B166" s="11">
        <v>173.7</v>
      </c>
    </row>
    <row r="167" spans="1:2" x14ac:dyDescent="0.25">
      <c r="A167" s="2">
        <v>37316</v>
      </c>
      <c r="B167" s="11">
        <v>172.9</v>
      </c>
    </row>
    <row r="168" spans="1:2" x14ac:dyDescent="0.25">
      <c r="A168" s="2">
        <v>37347</v>
      </c>
      <c r="B168" s="11">
        <v>170.7</v>
      </c>
    </row>
    <row r="169" spans="1:2" x14ac:dyDescent="0.25">
      <c r="A169" s="2">
        <v>37377</v>
      </c>
      <c r="B169" s="11">
        <v>180.1</v>
      </c>
    </row>
    <row r="170" spans="1:2" x14ac:dyDescent="0.25">
      <c r="A170" s="2">
        <v>37408</v>
      </c>
      <c r="B170" s="11">
        <v>189</v>
      </c>
    </row>
    <row r="171" spans="1:2" x14ac:dyDescent="0.25">
      <c r="A171" s="2">
        <v>37438</v>
      </c>
      <c r="B171" s="11">
        <v>192.5</v>
      </c>
    </row>
    <row r="172" spans="1:2" x14ac:dyDescent="0.25">
      <c r="A172" s="2">
        <v>37469</v>
      </c>
      <c r="B172" s="11">
        <v>192.4</v>
      </c>
    </row>
    <row r="173" spans="1:2" x14ac:dyDescent="0.25">
      <c r="A173" s="2">
        <v>37500</v>
      </c>
      <c r="B173" s="11">
        <v>203</v>
      </c>
    </row>
    <row r="174" spans="1:2" x14ac:dyDescent="0.25">
      <c r="A174" s="2">
        <v>37530</v>
      </c>
      <c r="B174" s="11">
        <v>207.1</v>
      </c>
    </row>
    <row r="175" spans="1:2" x14ac:dyDescent="0.25">
      <c r="A175" s="2">
        <v>37561</v>
      </c>
      <c r="B175" s="11">
        <v>208.2</v>
      </c>
    </row>
    <row r="176" spans="1:2" x14ac:dyDescent="0.25">
      <c r="A176" s="2">
        <v>37591</v>
      </c>
      <c r="B176" s="11">
        <v>210</v>
      </c>
    </row>
    <row r="177" spans="1:2" x14ac:dyDescent="0.25">
      <c r="A177" s="2">
        <v>37622</v>
      </c>
      <c r="B177" s="11">
        <v>212.1</v>
      </c>
    </row>
    <row r="178" spans="1:2" x14ac:dyDescent="0.25">
      <c r="A178" s="2">
        <v>37653</v>
      </c>
      <c r="B178" s="11">
        <v>205.1</v>
      </c>
    </row>
    <row r="179" spans="1:2" x14ac:dyDescent="0.25">
      <c r="A179" s="2">
        <v>37681</v>
      </c>
      <c r="B179" s="11">
        <v>205.2</v>
      </c>
    </row>
    <row r="180" spans="1:2" x14ac:dyDescent="0.25">
      <c r="A180" s="2">
        <v>37712</v>
      </c>
      <c r="B180" s="11">
        <v>203.9</v>
      </c>
    </row>
    <row r="181" spans="1:2" x14ac:dyDescent="0.25">
      <c r="A181" s="2">
        <v>37742</v>
      </c>
      <c r="B181" s="11">
        <v>228.4</v>
      </c>
    </row>
    <row r="182" spans="1:2" x14ac:dyDescent="0.25">
      <c r="A182" s="2">
        <v>37773</v>
      </c>
      <c r="B182" s="11">
        <v>228.5</v>
      </c>
    </row>
    <row r="183" spans="1:2" x14ac:dyDescent="0.25">
      <c r="A183" s="2">
        <v>37803</v>
      </c>
      <c r="B183" s="11">
        <v>238.7</v>
      </c>
    </row>
    <row r="184" spans="1:2" x14ac:dyDescent="0.25">
      <c r="A184" s="2">
        <v>37834</v>
      </c>
      <c r="B184" s="11">
        <v>238.8</v>
      </c>
    </row>
    <row r="185" spans="1:2" x14ac:dyDescent="0.25">
      <c r="A185" s="2">
        <v>37865</v>
      </c>
      <c r="B185" s="11">
        <v>238.8</v>
      </c>
    </row>
    <row r="186" spans="1:2" x14ac:dyDescent="0.25">
      <c r="A186" s="2">
        <v>37895</v>
      </c>
      <c r="B186" s="11">
        <v>238.8</v>
      </c>
    </row>
    <row r="187" spans="1:2" x14ac:dyDescent="0.25">
      <c r="A187" s="2">
        <v>37926</v>
      </c>
      <c r="B187" s="11">
        <v>228.7</v>
      </c>
    </row>
    <row r="188" spans="1:2" x14ac:dyDescent="0.25">
      <c r="A188" s="2">
        <v>37956</v>
      </c>
      <c r="B188" s="11">
        <v>228.6</v>
      </c>
    </row>
    <row r="189" spans="1:2" x14ac:dyDescent="0.25">
      <c r="A189" s="2">
        <v>37987</v>
      </c>
      <c r="B189" s="11">
        <v>225.3</v>
      </c>
    </row>
    <row r="190" spans="1:2" x14ac:dyDescent="0.25">
      <c r="A190" s="2">
        <v>38018</v>
      </c>
      <c r="B190" s="11">
        <v>225.3</v>
      </c>
    </row>
    <row r="191" spans="1:2" x14ac:dyDescent="0.25">
      <c r="A191" s="2">
        <v>38047</v>
      </c>
      <c r="B191" s="11">
        <v>226.8</v>
      </c>
    </row>
    <row r="192" spans="1:2" x14ac:dyDescent="0.25">
      <c r="A192" s="2">
        <v>38078</v>
      </c>
      <c r="B192" s="11">
        <v>228.7</v>
      </c>
    </row>
    <row r="193" spans="1:2" x14ac:dyDescent="0.25">
      <c r="A193" s="2">
        <v>38108</v>
      </c>
      <c r="B193" s="11">
        <v>229.1</v>
      </c>
    </row>
    <row r="194" spans="1:2" x14ac:dyDescent="0.25">
      <c r="A194" s="2">
        <v>38139</v>
      </c>
      <c r="B194" s="11">
        <v>228.8</v>
      </c>
    </row>
    <row r="195" spans="1:2" x14ac:dyDescent="0.25">
      <c r="A195" s="2">
        <v>38169</v>
      </c>
      <c r="B195" s="11">
        <v>231.7</v>
      </c>
    </row>
    <row r="196" spans="1:2" x14ac:dyDescent="0.25">
      <c r="A196" s="2">
        <v>38200</v>
      </c>
      <c r="B196" s="11">
        <v>232.7</v>
      </c>
    </row>
    <row r="197" spans="1:2" x14ac:dyDescent="0.25">
      <c r="A197" s="2">
        <v>38231</v>
      </c>
      <c r="B197" s="11">
        <v>234.8</v>
      </c>
    </row>
    <row r="198" spans="1:2" x14ac:dyDescent="0.25">
      <c r="A198" s="2">
        <v>38261</v>
      </c>
      <c r="B198" s="11">
        <v>234.8</v>
      </c>
    </row>
    <row r="199" spans="1:2" x14ac:dyDescent="0.25">
      <c r="A199" s="2">
        <v>38292</v>
      </c>
      <c r="B199" s="11">
        <v>235.7</v>
      </c>
    </row>
    <row r="200" spans="1:2" x14ac:dyDescent="0.25">
      <c r="A200" s="2">
        <v>38322</v>
      </c>
      <c r="B200" s="11">
        <v>235.7</v>
      </c>
    </row>
    <row r="201" spans="1:2" x14ac:dyDescent="0.25">
      <c r="A201" s="2">
        <v>38353</v>
      </c>
      <c r="B201" s="11">
        <v>235.9</v>
      </c>
    </row>
    <row r="202" spans="1:2" x14ac:dyDescent="0.25">
      <c r="A202" s="2">
        <v>38384</v>
      </c>
      <c r="B202" s="11">
        <v>235.6</v>
      </c>
    </row>
    <row r="203" spans="1:2" x14ac:dyDescent="0.25">
      <c r="A203" s="2">
        <v>38412</v>
      </c>
      <c r="B203" s="11">
        <v>237</v>
      </c>
    </row>
    <row r="204" spans="1:2" x14ac:dyDescent="0.25">
      <c r="A204" s="2">
        <v>38443</v>
      </c>
      <c r="B204" s="11">
        <v>238.4</v>
      </c>
    </row>
    <row r="205" spans="1:2" x14ac:dyDescent="0.25">
      <c r="A205" s="2">
        <v>38473</v>
      </c>
      <c r="B205" s="11">
        <v>234.5</v>
      </c>
    </row>
    <row r="206" spans="1:2" x14ac:dyDescent="0.25">
      <c r="A206" s="2">
        <v>38504</v>
      </c>
      <c r="B206" s="11">
        <v>236.4</v>
      </c>
    </row>
    <row r="207" spans="1:2" x14ac:dyDescent="0.25">
      <c r="A207" s="2">
        <v>38534</v>
      </c>
      <c r="B207" s="11">
        <v>237.3</v>
      </c>
    </row>
    <row r="208" spans="1:2" x14ac:dyDescent="0.25">
      <c r="A208" s="2">
        <v>38565</v>
      </c>
      <c r="B208" s="11">
        <v>237.6</v>
      </c>
    </row>
    <row r="209" spans="1:2" x14ac:dyDescent="0.25">
      <c r="A209" s="2">
        <v>38596</v>
      </c>
      <c r="B209" s="11">
        <v>237.9</v>
      </c>
    </row>
    <row r="210" spans="1:2" x14ac:dyDescent="0.25">
      <c r="A210" s="2">
        <v>38626</v>
      </c>
      <c r="B210" s="11">
        <v>238</v>
      </c>
    </row>
    <row r="211" spans="1:2" x14ac:dyDescent="0.25">
      <c r="A211" s="2">
        <v>38657</v>
      </c>
      <c r="B211" s="11">
        <v>238.1</v>
      </c>
    </row>
    <row r="212" spans="1:2" x14ac:dyDescent="0.25">
      <c r="A212" s="2">
        <v>38687</v>
      </c>
      <c r="B212" s="11">
        <v>236.3</v>
      </c>
    </row>
    <row r="213" spans="1:2" x14ac:dyDescent="0.25">
      <c r="A213" s="2">
        <v>38718</v>
      </c>
      <c r="B213" s="11">
        <v>236.3</v>
      </c>
    </row>
    <row r="214" spans="1:2" x14ac:dyDescent="0.25">
      <c r="A214" s="2">
        <v>38749</v>
      </c>
      <c r="B214" s="11">
        <v>236.4</v>
      </c>
    </row>
    <row r="215" spans="1:2" x14ac:dyDescent="0.25">
      <c r="A215" s="2">
        <v>38777</v>
      </c>
      <c r="B215" s="11">
        <v>240.2</v>
      </c>
    </row>
    <row r="216" spans="1:2" x14ac:dyDescent="0.25">
      <c r="A216" s="2">
        <v>38808</v>
      </c>
      <c r="B216" s="11">
        <v>239.5</v>
      </c>
    </row>
    <row r="217" spans="1:2" x14ac:dyDescent="0.25">
      <c r="A217" s="2">
        <v>38838</v>
      </c>
      <c r="B217" s="11">
        <v>241</v>
      </c>
    </row>
    <row r="218" spans="1:2" x14ac:dyDescent="0.25">
      <c r="A218" s="2">
        <v>38869</v>
      </c>
      <c r="B218" s="11">
        <v>238.8</v>
      </c>
    </row>
    <row r="219" spans="1:2" x14ac:dyDescent="0.25">
      <c r="A219" s="2">
        <v>38899</v>
      </c>
      <c r="B219" s="11">
        <v>238.2</v>
      </c>
    </row>
    <row r="220" spans="1:2" x14ac:dyDescent="0.25">
      <c r="A220" s="2">
        <v>38930</v>
      </c>
      <c r="B220" s="11">
        <v>238.2</v>
      </c>
    </row>
    <row r="221" spans="1:2" x14ac:dyDescent="0.25">
      <c r="A221" s="2">
        <v>38961</v>
      </c>
      <c r="B221" s="11">
        <v>238.1</v>
      </c>
    </row>
    <row r="222" spans="1:2" x14ac:dyDescent="0.25">
      <c r="A222" s="2">
        <v>38991</v>
      </c>
      <c r="B222" s="11">
        <v>238.6</v>
      </c>
    </row>
    <row r="223" spans="1:2" x14ac:dyDescent="0.25">
      <c r="A223" s="2">
        <v>39022</v>
      </c>
      <c r="B223" s="11">
        <v>237.9</v>
      </c>
    </row>
    <row r="224" spans="1:2" x14ac:dyDescent="0.25">
      <c r="A224" s="2">
        <v>39052</v>
      </c>
      <c r="B224" s="11">
        <v>236.8</v>
      </c>
    </row>
    <row r="225" spans="1:2" x14ac:dyDescent="0.25">
      <c r="A225" s="2">
        <v>39083</v>
      </c>
      <c r="B225" s="11">
        <v>236.8</v>
      </c>
    </row>
    <row r="226" spans="1:2" x14ac:dyDescent="0.25">
      <c r="A226" s="2">
        <v>39114</v>
      </c>
      <c r="B226" s="11">
        <v>232.7</v>
      </c>
    </row>
    <row r="227" spans="1:2" x14ac:dyDescent="0.25">
      <c r="A227" s="2">
        <v>39142</v>
      </c>
      <c r="B227" s="11">
        <v>232.9</v>
      </c>
    </row>
    <row r="228" spans="1:2" x14ac:dyDescent="0.25">
      <c r="A228" s="2">
        <v>39173</v>
      </c>
      <c r="B228" s="11">
        <v>232.9</v>
      </c>
    </row>
    <row r="229" spans="1:2" x14ac:dyDescent="0.25">
      <c r="A229" s="2">
        <v>39203</v>
      </c>
      <c r="B229" s="11">
        <v>232.4</v>
      </c>
    </row>
    <row r="230" spans="1:2" x14ac:dyDescent="0.25">
      <c r="A230" s="2">
        <v>39234</v>
      </c>
      <c r="B230" s="11">
        <v>231.5</v>
      </c>
    </row>
    <row r="231" spans="1:2" x14ac:dyDescent="0.25">
      <c r="A231" s="2">
        <v>39264</v>
      </c>
      <c r="B231" s="11">
        <v>236.4</v>
      </c>
    </row>
    <row r="232" spans="1:2" x14ac:dyDescent="0.25">
      <c r="A232" s="2">
        <v>39295</v>
      </c>
      <c r="B232" s="11">
        <v>236.4</v>
      </c>
    </row>
    <row r="233" spans="1:2" x14ac:dyDescent="0.25">
      <c r="A233" s="2">
        <v>39326</v>
      </c>
      <c r="B233" s="11">
        <v>236.4</v>
      </c>
    </row>
    <row r="234" spans="1:2" x14ac:dyDescent="0.25">
      <c r="A234" s="2">
        <v>39356</v>
      </c>
      <c r="B234" s="11">
        <v>238.2</v>
      </c>
    </row>
    <row r="235" spans="1:2" x14ac:dyDescent="0.25">
      <c r="A235" s="2">
        <v>39387</v>
      </c>
      <c r="B235" s="11">
        <v>236.3</v>
      </c>
    </row>
    <row r="236" spans="1:2" x14ac:dyDescent="0.25">
      <c r="A236" s="2">
        <v>39417</v>
      </c>
      <c r="B236" s="11">
        <v>236.3</v>
      </c>
    </row>
    <row r="237" spans="1:2" x14ac:dyDescent="0.25">
      <c r="A237" s="2">
        <v>39448</v>
      </c>
      <c r="B237" s="11">
        <v>239.1</v>
      </c>
    </row>
    <row r="238" spans="1:2" x14ac:dyDescent="0.25">
      <c r="A238" s="2">
        <v>39479</v>
      </c>
      <c r="B238" s="11">
        <v>239.2</v>
      </c>
    </row>
    <row r="239" spans="1:2" x14ac:dyDescent="0.25">
      <c r="A239" s="2">
        <v>39508</v>
      </c>
      <c r="B239" s="11">
        <v>242.8</v>
      </c>
    </row>
    <row r="240" spans="1:2" x14ac:dyDescent="0.25">
      <c r="A240" s="2">
        <v>39539</v>
      </c>
      <c r="B240" s="11">
        <v>246.4</v>
      </c>
    </row>
    <row r="241" spans="1:2" x14ac:dyDescent="0.25">
      <c r="A241" s="2">
        <v>39569</v>
      </c>
      <c r="B241" s="11">
        <v>262</v>
      </c>
    </row>
    <row r="242" spans="1:2" x14ac:dyDescent="0.25">
      <c r="A242" s="2">
        <v>39600</v>
      </c>
      <c r="B242" s="11">
        <v>267.89999999999998</v>
      </c>
    </row>
    <row r="243" spans="1:2" x14ac:dyDescent="0.25">
      <c r="A243" s="2">
        <v>39630</v>
      </c>
      <c r="B243" s="11">
        <v>272.7</v>
      </c>
    </row>
    <row r="244" spans="1:2" x14ac:dyDescent="0.25">
      <c r="A244" s="2">
        <v>39661</v>
      </c>
      <c r="B244" s="11">
        <v>287.2</v>
      </c>
    </row>
    <row r="245" spans="1:2" x14ac:dyDescent="0.25">
      <c r="A245" s="2">
        <v>39692</v>
      </c>
      <c r="B245" s="11">
        <v>290.5</v>
      </c>
    </row>
    <row r="246" spans="1:2" x14ac:dyDescent="0.25">
      <c r="A246" s="2">
        <v>39722</v>
      </c>
      <c r="B246" s="11">
        <v>285.60000000000002</v>
      </c>
    </row>
    <row r="247" spans="1:2" x14ac:dyDescent="0.25">
      <c r="A247" s="2">
        <v>39753</v>
      </c>
      <c r="B247" s="11">
        <v>269.5</v>
      </c>
    </row>
    <row r="248" spans="1:2" x14ac:dyDescent="0.25">
      <c r="A248" s="2">
        <v>39783</v>
      </c>
      <c r="B248" s="11">
        <v>263.8</v>
      </c>
    </row>
    <row r="249" spans="1:2" x14ac:dyDescent="0.25">
      <c r="A249" s="2">
        <v>39814</v>
      </c>
      <c r="B249" s="11">
        <v>239.5</v>
      </c>
    </row>
    <row r="250" spans="1:2" x14ac:dyDescent="0.25">
      <c r="A250" s="2">
        <v>39845</v>
      </c>
      <c r="B250" s="11">
        <v>230.1</v>
      </c>
    </row>
    <row r="251" spans="1:2" x14ac:dyDescent="0.25">
      <c r="A251" s="2">
        <v>39873</v>
      </c>
      <c r="B251" s="11">
        <v>230.6</v>
      </c>
    </row>
    <row r="252" spans="1:2" x14ac:dyDescent="0.25">
      <c r="A252" s="2">
        <v>39904</v>
      </c>
      <c r="B252" s="11">
        <v>231.7</v>
      </c>
    </row>
    <row r="253" spans="1:2" x14ac:dyDescent="0.25">
      <c r="A253" s="2">
        <v>39934</v>
      </c>
      <c r="B253" s="11">
        <v>213.3</v>
      </c>
    </row>
    <row r="254" spans="1:2" x14ac:dyDescent="0.25">
      <c r="A254" s="2">
        <v>39965</v>
      </c>
      <c r="B254" s="11">
        <v>213.5</v>
      </c>
    </row>
    <row r="255" spans="1:2" x14ac:dyDescent="0.25">
      <c r="A255" s="2">
        <v>39995</v>
      </c>
      <c r="B255" s="11">
        <v>214.8</v>
      </c>
    </row>
    <row r="256" spans="1:2" x14ac:dyDescent="0.25">
      <c r="A256" s="2">
        <v>40026</v>
      </c>
      <c r="B256" s="11">
        <v>216.8</v>
      </c>
    </row>
    <row r="257" spans="1:2" x14ac:dyDescent="0.25">
      <c r="A257" s="2">
        <v>40057</v>
      </c>
      <c r="B257" s="11">
        <v>220.2</v>
      </c>
    </row>
    <row r="258" spans="1:2" x14ac:dyDescent="0.25">
      <c r="A258" s="2">
        <v>40087</v>
      </c>
      <c r="B258" s="11">
        <v>222.6</v>
      </c>
    </row>
    <row r="259" spans="1:2" x14ac:dyDescent="0.25">
      <c r="A259" s="2">
        <v>40118</v>
      </c>
      <c r="B259" s="11">
        <v>223.7</v>
      </c>
    </row>
    <row r="260" spans="1:2" x14ac:dyDescent="0.25">
      <c r="A260" s="2">
        <v>40148</v>
      </c>
      <c r="B260" s="11">
        <v>226</v>
      </c>
    </row>
    <row r="261" spans="1:2" x14ac:dyDescent="0.25">
      <c r="A261" s="2">
        <v>40179</v>
      </c>
      <c r="B261" s="11">
        <v>232.1</v>
      </c>
    </row>
    <row r="262" spans="1:2" x14ac:dyDescent="0.25">
      <c r="A262" s="2">
        <v>40210</v>
      </c>
      <c r="B262" s="11">
        <v>234.4</v>
      </c>
    </row>
    <row r="263" spans="1:2" x14ac:dyDescent="0.25">
      <c r="A263" s="2">
        <v>40238</v>
      </c>
      <c r="B263" s="11">
        <v>234.4</v>
      </c>
    </row>
    <row r="264" spans="1:2" x14ac:dyDescent="0.25">
      <c r="A264" s="2">
        <v>40269</v>
      </c>
      <c r="B264" s="11">
        <v>242.1</v>
      </c>
    </row>
    <row r="265" spans="1:2" x14ac:dyDescent="0.25">
      <c r="A265" s="2">
        <v>40299</v>
      </c>
      <c r="B265" s="11">
        <v>249.5</v>
      </c>
    </row>
    <row r="266" spans="1:2" x14ac:dyDescent="0.25">
      <c r="A266" s="2">
        <v>40330</v>
      </c>
      <c r="B266" s="11">
        <v>253.1</v>
      </c>
    </row>
    <row r="267" spans="1:2" x14ac:dyDescent="0.25">
      <c r="A267" s="2">
        <v>40360</v>
      </c>
      <c r="B267" s="11">
        <v>260.10000000000002</v>
      </c>
    </row>
    <row r="268" spans="1:2" x14ac:dyDescent="0.25">
      <c r="A268" s="2">
        <v>40391</v>
      </c>
      <c r="B268" s="11">
        <v>260.10000000000002</v>
      </c>
    </row>
    <row r="269" spans="1:2" x14ac:dyDescent="0.25">
      <c r="A269" s="2">
        <v>40422</v>
      </c>
      <c r="B269" s="11">
        <v>260.2</v>
      </c>
    </row>
    <row r="270" spans="1:2" x14ac:dyDescent="0.25">
      <c r="A270" s="2">
        <v>40452</v>
      </c>
      <c r="B270" s="11">
        <v>258.2</v>
      </c>
    </row>
    <row r="271" spans="1:2" x14ac:dyDescent="0.25">
      <c r="A271" s="2">
        <v>40483</v>
      </c>
      <c r="B271" s="11">
        <v>258.2</v>
      </c>
    </row>
    <row r="272" spans="1:2" x14ac:dyDescent="0.25">
      <c r="A272" s="2">
        <v>40513</v>
      </c>
      <c r="B272" s="11">
        <v>258.2</v>
      </c>
    </row>
    <row r="273" spans="1:2" x14ac:dyDescent="0.25">
      <c r="A273" s="2">
        <v>40544</v>
      </c>
      <c r="B273" s="11">
        <v>259.3</v>
      </c>
    </row>
    <row r="274" spans="1:2" x14ac:dyDescent="0.25">
      <c r="A274" s="2">
        <v>40575</v>
      </c>
      <c r="B274" s="11">
        <v>262.3</v>
      </c>
    </row>
    <row r="275" spans="1:2" x14ac:dyDescent="0.25">
      <c r="A275" s="2">
        <v>40603</v>
      </c>
      <c r="B275" s="11">
        <v>269.2</v>
      </c>
    </row>
    <row r="276" spans="1:2" x14ac:dyDescent="0.25">
      <c r="A276" s="2">
        <v>40634</v>
      </c>
      <c r="B276" s="11">
        <v>271.10000000000002</v>
      </c>
    </row>
    <row r="277" spans="1:2" x14ac:dyDescent="0.25">
      <c r="A277" s="2">
        <v>40664</v>
      </c>
      <c r="B277" s="11">
        <v>273.39999999999998</v>
      </c>
    </row>
    <row r="278" spans="1:2" x14ac:dyDescent="0.25">
      <c r="A278" s="2">
        <v>40695</v>
      </c>
      <c r="B278" s="11">
        <v>271.7</v>
      </c>
    </row>
    <row r="279" spans="1:2" x14ac:dyDescent="0.25">
      <c r="A279" s="2">
        <v>40725</v>
      </c>
      <c r="B279" s="11">
        <v>260</v>
      </c>
    </row>
    <row r="280" spans="1:2" x14ac:dyDescent="0.25">
      <c r="A280" s="2">
        <v>40756</v>
      </c>
      <c r="B280" s="11">
        <v>253.2</v>
      </c>
    </row>
    <row r="281" spans="1:2" x14ac:dyDescent="0.25">
      <c r="A281" s="2">
        <v>40787</v>
      </c>
      <c r="B281" s="11">
        <v>252.3</v>
      </c>
    </row>
    <row r="282" spans="1:2" x14ac:dyDescent="0.25">
      <c r="A282" s="2">
        <v>40817</v>
      </c>
      <c r="B282" s="11">
        <v>245.1</v>
      </c>
    </row>
    <row r="283" spans="1:2" x14ac:dyDescent="0.25">
      <c r="A283" s="2">
        <v>40848</v>
      </c>
      <c r="B283" s="11">
        <v>249.3</v>
      </c>
    </row>
    <row r="284" spans="1:2" x14ac:dyDescent="0.25">
      <c r="A284" s="2">
        <v>40878</v>
      </c>
      <c r="B284" s="11">
        <v>244.6</v>
      </c>
    </row>
    <row r="285" spans="1:2" x14ac:dyDescent="0.25">
      <c r="A285" s="2">
        <v>40909</v>
      </c>
      <c r="B285" s="11">
        <v>244.7</v>
      </c>
    </row>
    <row r="286" spans="1:2" x14ac:dyDescent="0.25">
      <c r="A286" s="2">
        <v>40940</v>
      </c>
      <c r="B286" s="11">
        <v>248</v>
      </c>
    </row>
    <row r="287" spans="1:2" x14ac:dyDescent="0.25">
      <c r="A287" s="2">
        <v>40969</v>
      </c>
      <c r="B287" s="11">
        <v>257.2</v>
      </c>
    </row>
    <row r="288" spans="1:2" x14ac:dyDescent="0.25">
      <c r="A288" s="2">
        <v>41000</v>
      </c>
      <c r="B288" s="11">
        <v>258.89999999999998</v>
      </c>
    </row>
    <row r="289" spans="1:2" x14ac:dyDescent="0.25">
      <c r="A289" s="2">
        <v>41030</v>
      </c>
      <c r="B289" s="11">
        <v>259</v>
      </c>
    </row>
    <row r="290" spans="1:2" x14ac:dyDescent="0.25">
      <c r="A290" s="2">
        <v>41061</v>
      </c>
      <c r="B290" s="11">
        <v>257.8</v>
      </c>
    </row>
    <row r="291" spans="1:2" x14ac:dyDescent="0.25">
      <c r="A291" s="2">
        <v>41091</v>
      </c>
      <c r="B291" s="11">
        <v>257.39999999999998</v>
      </c>
    </row>
    <row r="292" spans="1:2" x14ac:dyDescent="0.25">
      <c r="A292" s="2">
        <v>41122</v>
      </c>
      <c r="B292" s="11">
        <v>258.3</v>
      </c>
    </row>
    <row r="293" spans="1:2" x14ac:dyDescent="0.25">
      <c r="A293" s="2">
        <v>41153</v>
      </c>
      <c r="B293" s="11">
        <v>257.39999999999998</v>
      </c>
    </row>
    <row r="294" spans="1:2" x14ac:dyDescent="0.25">
      <c r="A294" s="2">
        <v>41183</v>
      </c>
      <c r="B294" s="11">
        <v>254.1</v>
      </c>
    </row>
    <row r="295" spans="1:2" x14ac:dyDescent="0.25">
      <c r="A295" s="2">
        <v>41214</v>
      </c>
      <c r="B295" s="11">
        <v>254.6</v>
      </c>
    </row>
    <row r="296" spans="1:2" x14ac:dyDescent="0.25">
      <c r="A296" s="2">
        <v>41244</v>
      </c>
      <c r="B296" s="11">
        <v>255.8</v>
      </c>
    </row>
    <row r="297" spans="1:2" x14ac:dyDescent="0.25">
      <c r="A297" s="2">
        <v>41275</v>
      </c>
      <c r="B297" s="11">
        <v>256.10000000000002</v>
      </c>
    </row>
    <row r="298" spans="1:2" x14ac:dyDescent="0.25">
      <c r="A298" s="2">
        <v>41306</v>
      </c>
      <c r="B298" s="11">
        <v>254.9</v>
      </c>
    </row>
    <row r="299" spans="1:2" x14ac:dyDescent="0.25">
      <c r="A299" s="2">
        <v>41334</v>
      </c>
      <c r="B299" s="11">
        <v>255.3</v>
      </c>
    </row>
    <row r="300" spans="1:2" x14ac:dyDescent="0.25">
      <c r="A300" s="2">
        <v>41365</v>
      </c>
      <c r="B300" s="11">
        <v>249.5</v>
      </c>
    </row>
    <row r="301" spans="1:2" x14ac:dyDescent="0.25">
      <c r="A301" s="2">
        <v>41395</v>
      </c>
      <c r="B301" s="11">
        <v>253.9</v>
      </c>
    </row>
    <row r="302" spans="1:2" x14ac:dyDescent="0.25">
      <c r="A302" s="2">
        <v>41426</v>
      </c>
      <c r="B302" s="11">
        <v>252.3</v>
      </c>
    </row>
    <row r="303" spans="1:2" x14ac:dyDescent="0.25">
      <c r="A303" s="2">
        <v>41456</v>
      </c>
      <c r="B303" s="11">
        <v>253.8</v>
      </c>
    </row>
    <row r="304" spans="1:2" x14ac:dyDescent="0.25">
      <c r="A304" s="2">
        <v>41487</v>
      </c>
      <c r="B304" s="11">
        <v>253.7</v>
      </c>
    </row>
    <row r="305" spans="1:2" x14ac:dyDescent="0.25">
      <c r="A305" s="2">
        <v>41518</v>
      </c>
      <c r="B305" s="11">
        <v>254.8</v>
      </c>
    </row>
    <row r="306" spans="1:2" x14ac:dyDescent="0.25">
      <c r="A306" s="2">
        <v>41548</v>
      </c>
      <c r="B306" s="11">
        <v>254.6</v>
      </c>
    </row>
    <row r="307" spans="1:2" x14ac:dyDescent="0.25">
      <c r="A307" s="2">
        <v>41579</v>
      </c>
      <c r="B307" s="11">
        <v>252.5</v>
      </c>
    </row>
    <row r="308" spans="1:2" x14ac:dyDescent="0.25">
      <c r="A308" s="2">
        <v>41609</v>
      </c>
      <c r="B308" s="11">
        <v>263.2</v>
      </c>
    </row>
    <row r="309" spans="1:2" x14ac:dyDescent="0.25">
      <c r="A309" s="2">
        <v>41640</v>
      </c>
      <c r="B309" s="11">
        <v>268.60000000000002</v>
      </c>
    </row>
    <row r="310" spans="1:2" x14ac:dyDescent="0.25">
      <c r="A310" s="2">
        <v>41671</v>
      </c>
      <c r="B310" s="11">
        <v>267.89999999999998</v>
      </c>
    </row>
    <row r="311" spans="1:2" x14ac:dyDescent="0.25">
      <c r="A311" s="2">
        <v>41699</v>
      </c>
      <c r="B311" s="11">
        <v>267.7</v>
      </c>
    </row>
    <row r="312" spans="1:2" x14ac:dyDescent="0.25">
      <c r="A312" s="2">
        <v>41730</v>
      </c>
      <c r="B312" s="11">
        <v>269</v>
      </c>
    </row>
    <row r="313" spans="1:2" x14ac:dyDescent="0.25">
      <c r="A313" s="2">
        <v>41760</v>
      </c>
      <c r="B313" s="11">
        <v>269.7</v>
      </c>
    </row>
    <row r="314" spans="1:2" x14ac:dyDescent="0.25">
      <c r="A314" s="2">
        <v>41791</v>
      </c>
      <c r="B314" s="11">
        <v>270.60000000000002</v>
      </c>
    </row>
    <row r="315" spans="1:2" x14ac:dyDescent="0.25">
      <c r="A315" s="2">
        <v>41821</v>
      </c>
      <c r="B315" s="11">
        <v>268.2</v>
      </c>
    </row>
    <row r="316" spans="1:2" x14ac:dyDescent="0.25">
      <c r="A316" s="2">
        <v>41852</v>
      </c>
      <c r="B316" s="11">
        <v>268.2</v>
      </c>
    </row>
    <row r="317" spans="1:2" x14ac:dyDescent="0.25">
      <c r="A317" s="2">
        <v>41883</v>
      </c>
      <c r="B317" s="11">
        <v>267.89999999999998</v>
      </c>
    </row>
    <row r="318" spans="1:2" x14ac:dyDescent="0.25">
      <c r="A318" s="2">
        <v>41913</v>
      </c>
      <c r="B318" s="11">
        <v>267.10000000000002</v>
      </c>
    </row>
    <row r="319" spans="1:2" x14ac:dyDescent="0.25">
      <c r="A319" s="2">
        <v>41944</v>
      </c>
      <c r="B319" s="11">
        <v>266.7</v>
      </c>
    </row>
    <row r="320" spans="1:2" x14ac:dyDescent="0.25">
      <c r="A320" s="2">
        <v>41974</v>
      </c>
      <c r="B320" s="11">
        <v>266.60000000000002</v>
      </c>
    </row>
    <row r="321" spans="1:2" x14ac:dyDescent="0.25">
      <c r="A321" s="2">
        <v>42005</v>
      </c>
      <c r="B321" s="11">
        <v>265.5</v>
      </c>
    </row>
    <row r="322" spans="1:2" x14ac:dyDescent="0.25">
      <c r="A322" s="2">
        <v>42036</v>
      </c>
      <c r="B322" s="11">
        <v>273.2</v>
      </c>
    </row>
    <row r="323" spans="1:2" x14ac:dyDescent="0.25">
      <c r="A323" s="2">
        <v>42064</v>
      </c>
      <c r="B323" s="11">
        <v>273.89999999999998</v>
      </c>
    </row>
    <row r="324" spans="1:2" x14ac:dyDescent="0.25">
      <c r="A324" s="2">
        <v>42095</v>
      </c>
      <c r="B324" s="11">
        <v>275</v>
      </c>
    </row>
    <row r="325" spans="1:2" x14ac:dyDescent="0.25">
      <c r="A325" s="2">
        <v>42125</v>
      </c>
      <c r="B325" s="11">
        <v>274.89999999999998</v>
      </c>
    </row>
    <row r="326" spans="1:2" x14ac:dyDescent="0.25">
      <c r="A326" s="2">
        <v>42156</v>
      </c>
      <c r="B326" s="11">
        <v>268.8</v>
      </c>
    </row>
    <row r="327" spans="1:2" x14ac:dyDescent="0.25">
      <c r="A327" s="2">
        <v>42186</v>
      </c>
      <c r="B327" s="11">
        <v>264.5</v>
      </c>
    </row>
    <row r="328" spans="1:2" x14ac:dyDescent="0.25">
      <c r="A328" s="2">
        <v>42217</v>
      </c>
      <c r="B328" s="11">
        <v>263.39999999999998</v>
      </c>
    </row>
    <row r="329" spans="1:2" x14ac:dyDescent="0.25">
      <c r="A329" s="2">
        <v>42248</v>
      </c>
      <c r="B329" s="11">
        <v>258</v>
      </c>
    </row>
    <row r="330" spans="1:2" x14ac:dyDescent="0.25">
      <c r="A330" s="2">
        <v>42278</v>
      </c>
      <c r="B330" s="11">
        <v>258.2</v>
      </c>
    </row>
    <row r="331" spans="1:2" x14ac:dyDescent="0.25">
      <c r="A331" s="2">
        <v>42309</v>
      </c>
      <c r="B331" s="11">
        <v>254.6</v>
      </c>
    </row>
    <row r="332" spans="1:2" x14ac:dyDescent="0.25">
      <c r="A332" s="2">
        <v>42339</v>
      </c>
      <c r="B332" s="11">
        <v>247.9</v>
      </c>
    </row>
    <row r="333" spans="1:2" x14ac:dyDescent="0.25">
      <c r="A333" s="2">
        <v>42370</v>
      </c>
      <c r="B333" s="11">
        <v>245.2</v>
      </c>
    </row>
    <row r="334" spans="1:2" x14ac:dyDescent="0.25">
      <c r="A334" s="2">
        <v>42401</v>
      </c>
      <c r="B334" s="11">
        <v>241.1</v>
      </c>
    </row>
    <row r="335" spans="1:2" x14ac:dyDescent="0.25">
      <c r="A335" s="2">
        <v>42430</v>
      </c>
      <c r="B335" s="11">
        <v>243.5</v>
      </c>
    </row>
    <row r="336" spans="1:2" x14ac:dyDescent="0.25">
      <c r="A336" s="2">
        <v>42461</v>
      </c>
      <c r="B336" s="11">
        <v>242.2</v>
      </c>
    </row>
    <row r="337" spans="1:2" x14ac:dyDescent="0.25">
      <c r="A337" s="2">
        <v>42491</v>
      </c>
      <c r="B337" s="11">
        <v>242.9</v>
      </c>
    </row>
    <row r="338" spans="1:2" x14ac:dyDescent="0.25">
      <c r="A338" s="2">
        <v>42522</v>
      </c>
      <c r="B338" s="11">
        <v>244.4</v>
      </c>
    </row>
    <row r="339" spans="1:2" x14ac:dyDescent="0.25">
      <c r="A339" s="2">
        <v>42552</v>
      </c>
      <c r="B339" s="11">
        <v>242.1</v>
      </c>
    </row>
    <row r="340" spans="1:2" x14ac:dyDescent="0.25">
      <c r="A340" s="2">
        <v>42583</v>
      </c>
      <c r="B340" s="11">
        <v>246.1</v>
      </c>
    </row>
    <row r="341" spans="1:2" x14ac:dyDescent="0.25">
      <c r="A341" s="2">
        <v>42614</v>
      </c>
      <c r="B341" s="11">
        <v>246.1</v>
      </c>
    </row>
    <row r="342" spans="1:2" x14ac:dyDescent="0.25">
      <c r="A342" s="2">
        <v>42644</v>
      </c>
      <c r="B342" s="11">
        <v>254.5</v>
      </c>
    </row>
    <row r="343" spans="1:2" x14ac:dyDescent="0.25">
      <c r="A343" s="2">
        <v>42675</v>
      </c>
      <c r="B343" s="11">
        <v>255.1</v>
      </c>
    </row>
    <row r="344" spans="1:2" x14ac:dyDescent="0.25">
      <c r="A344" s="2">
        <v>42705</v>
      </c>
      <c r="B344" s="11">
        <v>258.2</v>
      </c>
    </row>
    <row r="345" spans="1:2" x14ac:dyDescent="0.25">
      <c r="A345" s="2">
        <v>42736</v>
      </c>
      <c r="B345" s="11">
        <v>260.39999999999998</v>
      </c>
    </row>
    <row r="346" spans="1:2" x14ac:dyDescent="0.25">
      <c r="A346" s="2">
        <v>42767</v>
      </c>
      <c r="B346" s="11">
        <v>263.8</v>
      </c>
    </row>
    <row r="347" spans="1:2" x14ac:dyDescent="0.25">
      <c r="A347" s="2">
        <v>42795</v>
      </c>
      <c r="B347" s="11">
        <v>262.3</v>
      </c>
    </row>
    <row r="348" spans="1:2" x14ac:dyDescent="0.25">
      <c r="A348" s="2">
        <v>42826</v>
      </c>
      <c r="B348" s="11">
        <v>265</v>
      </c>
    </row>
    <row r="349" spans="1:2" x14ac:dyDescent="0.25">
      <c r="A349" s="2">
        <v>42856</v>
      </c>
      <c r="B349" s="11">
        <v>267.89999999999998</v>
      </c>
    </row>
    <row r="350" spans="1:2" x14ac:dyDescent="0.25">
      <c r="A350" s="2">
        <v>42887</v>
      </c>
      <c r="B350" s="11">
        <v>267.8</v>
      </c>
    </row>
    <row r="351" spans="1:2" x14ac:dyDescent="0.25">
      <c r="A351" s="2">
        <v>42917</v>
      </c>
      <c r="B351" s="11">
        <v>269.8</v>
      </c>
    </row>
    <row r="352" spans="1:2" x14ac:dyDescent="0.25">
      <c r="A352" s="2">
        <v>42948</v>
      </c>
      <c r="B352" s="11">
        <v>270</v>
      </c>
    </row>
    <row r="353" spans="1:2" x14ac:dyDescent="0.25">
      <c r="A353" s="2">
        <v>42979</v>
      </c>
      <c r="B353" s="11">
        <v>270.39999999999998</v>
      </c>
    </row>
    <row r="354" spans="1:2" x14ac:dyDescent="0.25">
      <c r="A354" s="2">
        <v>43009</v>
      </c>
      <c r="B354" s="11">
        <v>268.7</v>
      </c>
    </row>
    <row r="355" spans="1:2" x14ac:dyDescent="0.25">
      <c r="A355" s="2">
        <v>43040</v>
      </c>
      <c r="B355" s="11">
        <v>278.39999999999998</v>
      </c>
    </row>
    <row r="356" spans="1:2" x14ac:dyDescent="0.25">
      <c r="A356" s="2">
        <v>43070</v>
      </c>
      <c r="B356" s="11">
        <v>276.7</v>
      </c>
    </row>
    <row r="357" spans="1:2" x14ac:dyDescent="0.25">
      <c r="A357" s="2">
        <v>43101</v>
      </c>
      <c r="B357" s="11">
        <v>281</v>
      </c>
    </row>
    <row r="358" spans="1:2" x14ac:dyDescent="0.25">
      <c r="A358" s="2">
        <v>43132</v>
      </c>
      <c r="B358" s="11">
        <v>281.39999999999998</v>
      </c>
    </row>
    <row r="359" spans="1:2" x14ac:dyDescent="0.25">
      <c r="A359" s="2">
        <v>43160</v>
      </c>
      <c r="B359" s="11">
        <v>281.5</v>
      </c>
    </row>
    <row r="360" spans="1:2" x14ac:dyDescent="0.25">
      <c r="A360" s="2">
        <v>43191</v>
      </c>
      <c r="B360" s="11">
        <v>284.3</v>
      </c>
    </row>
    <row r="361" spans="1:2" x14ac:dyDescent="0.25">
      <c r="A361" s="2">
        <v>43221</v>
      </c>
      <c r="B361" s="11">
        <v>292.8</v>
      </c>
    </row>
    <row r="362" spans="1:2" x14ac:dyDescent="0.25">
      <c r="A362" s="2">
        <v>43252</v>
      </c>
      <c r="B362" s="11">
        <v>300.5</v>
      </c>
    </row>
    <row r="363" spans="1:2" x14ac:dyDescent="0.25">
      <c r="A363" s="2">
        <v>43282</v>
      </c>
      <c r="B363" s="11">
        <v>307.3</v>
      </c>
    </row>
    <row r="364" spans="1:2" x14ac:dyDescent="0.25">
      <c r="A364" s="2">
        <v>43313</v>
      </c>
      <c r="B364" s="11">
        <v>307</v>
      </c>
    </row>
    <row r="365" spans="1:2" x14ac:dyDescent="0.25">
      <c r="A365" s="2">
        <v>43344</v>
      </c>
      <c r="B365" s="11">
        <v>307.60000000000002</v>
      </c>
    </row>
    <row r="366" spans="1:2" x14ac:dyDescent="0.25">
      <c r="A366" s="2">
        <v>43374</v>
      </c>
      <c r="B366" s="11">
        <v>311.10000000000002</v>
      </c>
    </row>
    <row r="367" spans="1:2" x14ac:dyDescent="0.25">
      <c r="A367" s="2">
        <v>43405</v>
      </c>
      <c r="B367" s="11">
        <v>311.8</v>
      </c>
    </row>
    <row r="368" spans="1:2" x14ac:dyDescent="0.25">
      <c r="A368" s="2">
        <v>43435</v>
      </c>
      <c r="B368" s="11">
        <v>311.10000000000002</v>
      </c>
    </row>
    <row r="369" spans="1:2" x14ac:dyDescent="0.25">
      <c r="A369" s="2">
        <v>43466</v>
      </c>
      <c r="B369" s="11">
        <v>313.8</v>
      </c>
    </row>
    <row r="370" spans="1:2" x14ac:dyDescent="0.25">
      <c r="A370" s="2">
        <v>43497</v>
      </c>
      <c r="B370" s="11">
        <v>313.2</v>
      </c>
    </row>
    <row r="371" spans="1:2" x14ac:dyDescent="0.25">
      <c r="A371" s="2">
        <v>43525</v>
      </c>
      <c r="B371" s="11">
        <v>314.8</v>
      </c>
    </row>
    <row r="372" spans="1:2" x14ac:dyDescent="0.25">
      <c r="A372" s="2">
        <v>43556</v>
      </c>
      <c r="B372" s="11">
        <v>316.10000000000002</v>
      </c>
    </row>
    <row r="373" spans="1:2" x14ac:dyDescent="0.25">
      <c r="A373" s="2">
        <v>43586</v>
      </c>
      <c r="B373" s="11">
        <v>316.89999999999998</v>
      </c>
    </row>
    <row r="374" spans="1:2" x14ac:dyDescent="0.25">
      <c r="A374" s="2">
        <v>43617</v>
      </c>
      <c r="B374" s="11">
        <v>316</v>
      </c>
    </row>
    <row r="375" spans="1:2" x14ac:dyDescent="0.25">
      <c r="A375" s="2">
        <v>43647</v>
      </c>
      <c r="B375" s="11">
        <v>320.39999999999998</v>
      </c>
    </row>
    <row r="376" spans="1:2" x14ac:dyDescent="0.25">
      <c r="A376" s="2">
        <v>43678</v>
      </c>
      <c r="B376" s="11">
        <v>310.8</v>
      </c>
    </row>
    <row r="377" spans="1:2" x14ac:dyDescent="0.25">
      <c r="A377" s="2">
        <v>43709</v>
      </c>
      <c r="B377" s="11">
        <v>311.60000000000002</v>
      </c>
    </row>
    <row r="378" spans="1:2" x14ac:dyDescent="0.25">
      <c r="A378" s="2">
        <v>43739</v>
      </c>
      <c r="B378" s="11">
        <v>309.39999999999998</v>
      </c>
    </row>
    <row r="379" spans="1:2" x14ac:dyDescent="0.25">
      <c r="A379" s="2">
        <v>43770</v>
      </c>
      <c r="B379" s="11">
        <v>323.7</v>
      </c>
    </row>
    <row r="380" spans="1:2" x14ac:dyDescent="0.25">
      <c r="A380" s="2">
        <v>43800</v>
      </c>
      <c r="B380" s="11">
        <v>327.5</v>
      </c>
    </row>
    <row r="381" spans="1:2" x14ac:dyDescent="0.25">
      <c r="A381" s="2">
        <v>43831</v>
      </c>
      <c r="B381" s="11">
        <v>327.7</v>
      </c>
    </row>
    <row r="382" spans="1:2" x14ac:dyDescent="0.25">
      <c r="A382" s="2">
        <v>43862</v>
      </c>
      <c r="B382" s="11">
        <v>310.7</v>
      </c>
    </row>
    <row r="383" spans="1:2" x14ac:dyDescent="0.25">
      <c r="A383" s="2">
        <v>43891</v>
      </c>
      <c r="B383" s="11">
        <v>308.60000000000002</v>
      </c>
    </row>
    <row r="384" spans="1:2" x14ac:dyDescent="0.25">
      <c r="A384" s="2">
        <v>43922</v>
      </c>
      <c r="B384" s="11">
        <v>293.10000000000002</v>
      </c>
    </row>
    <row r="385" spans="1:2" x14ac:dyDescent="0.25">
      <c r="A385" s="2">
        <v>43952</v>
      </c>
      <c r="B385" s="11">
        <v>293.2</v>
      </c>
    </row>
    <row r="386" spans="1:2" x14ac:dyDescent="0.25">
      <c r="A386" s="2">
        <v>43983</v>
      </c>
      <c r="B386" s="11">
        <v>294</v>
      </c>
    </row>
    <row r="387" spans="1:2" x14ac:dyDescent="0.25">
      <c r="A387" s="2">
        <v>44013</v>
      </c>
      <c r="B387" s="11">
        <v>294.8</v>
      </c>
    </row>
    <row r="388" spans="1:2" x14ac:dyDescent="0.25">
      <c r="A388" s="2">
        <v>44044</v>
      </c>
      <c r="B388" s="11">
        <v>295</v>
      </c>
    </row>
    <row r="389" spans="1:2" x14ac:dyDescent="0.25">
      <c r="A389" s="2">
        <v>44075</v>
      </c>
      <c r="B389" s="11">
        <v>294.39999999999998</v>
      </c>
    </row>
    <row r="390" spans="1:2" x14ac:dyDescent="0.25">
      <c r="A390" s="2">
        <v>44105</v>
      </c>
      <c r="B390" s="11">
        <v>290.5</v>
      </c>
    </row>
    <row r="391" spans="1:2" x14ac:dyDescent="0.25">
      <c r="A391" s="2">
        <v>44136</v>
      </c>
      <c r="B391" s="11">
        <v>287.2</v>
      </c>
    </row>
    <row r="392" spans="1:2" x14ac:dyDescent="0.25">
      <c r="A392" s="2">
        <v>44166</v>
      </c>
      <c r="B392" s="11">
        <v>290.10000000000002</v>
      </c>
    </row>
    <row r="393" spans="1:2" x14ac:dyDescent="0.25">
      <c r="A393" s="2">
        <v>44197</v>
      </c>
      <c r="B393" s="11">
        <v>292.5</v>
      </c>
    </row>
    <row r="394" spans="1:2" x14ac:dyDescent="0.25">
      <c r="A394" s="2">
        <v>44228</v>
      </c>
      <c r="B394" s="11">
        <v>300.60000000000002</v>
      </c>
    </row>
    <row r="395" spans="1:2" x14ac:dyDescent="0.25">
      <c r="A395" s="2">
        <v>44256</v>
      </c>
      <c r="B395" s="11">
        <v>306.39999999999998</v>
      </c>
    </row>
    <row r="396" spans="1:2" x14ac:dyDescent="0.25">
      <c r="A396" s="2">
        <v>44287</v>
      </c>
      <c r="B396" s="11">
        <v>316.2</v>
      </c>
    </row>
    <row r="397" spans="1:2" x14ac:dyDescent="0.25">
      <c r="A397" s="2">
        <v>44317</v>
      </c>
      <c r="B397" s="11">
        <v>329.9</v>
      </c>
    </row>
    <row r="398" spans="1:2" x14ac:dyDescent="0.25">
      <c r="A398" s="2">
        <v>44348</v>
      </c>
      <c r="B398" s="11">
        <v>344.2</v>
      </c>
    </row>
    <row r="399" spans="1:2" x14ac:dyDescent="0.25">
      <c r="A399" s="2">
        <v>44378</v>
      </c>
      <c r="B399" s="11">
        <v>347.64600000000002</v>
      </c>
    </row>
    <row r="400" spans="1:2" x14ac:dyDescent="0.25">
      <c r="A400" s="2">
        <v>44409</v>
      </c>
      <c r="B400" s="11">
        <v>342.08699999999999</v>
      </c>
    </row>
    <row r="401" spans="1:2" x14ac:dyDescent="0.25">
      <c r="A401" s="2">
        <v>44440</v>
      </c>
      <c r="B401" s="11">
        <v>354.38</v>
      </c>
    </row>
    <row r="402" spans="1:2" x14ac:dyDescent="0.25">
      <c r="A402" s="2">
        <v>44470</v>
      </c>
      <c r="B402" s="11">
        <v>364.565</v>
      </c>
    </row>
    <row r="403" spans="1:2" x14ac:dyDescent="0.25">
      <c r="A403" s="2">
        <v>44501</v>
      </c>
      <c r="B403" s="11">
        <v>361.07100000000003</v>
      </c>
    </row>
    <row r="404" spans="1:2" x14ac:dyDescent="0.25">
      <c r="A404" s="2">
        <v>44531</v>
      </c>
      <c r="B404" s="11">
        <v>373.589</v>
      </c>
    </row>
    <row r="405" spans="1:2" x14ac:dyDescent="0.25">
      <c r="A405" s="2">
        <v>44562</v>
      </c>
      <c r="B405" s="11">
        <v>374.96899999999999</v>
      </c>
    </row>
    <row r="406" spans="1:2" x14ac:dyDescent="0.25">
      <c r="A406" s="2">
        <v>44593</v>
      </c>
      <c r="B406" s="11">
        <v>375.18700000000001</v>
      </c>
    </row>
    <row r="407" spans="1:2" x14ac:dyDescent="0.25">
      <c r="A407" s="2">
        <v>44621</v>
      </c>
      <c r="B407" s="11">
        <v>364.16699999999997</v>
      </c>
    </row>
    <row r="408" spans="1:2" x14ac:dyDescent="0.25">
      <c r="A408" s="2">
        <v>44652</v>
      </c>
      <c r="B408" s="11">
        <v>395.26799999999997</v>
      </c>
    </row>
    <row r="409" spans="1:2" x14ac:dyDescent="0.25">
      <c r="A409" s="2">
        <v>44682</v>
      </c>
      <c r="B409" s="11">
        <v>446.983</v>
      </c>
    </row>
    <row r="410" spans="1:2" x14ac:dyDescent="0.25">
      <c r="A410" s="2">
        <v>44713</v>
      </c>
      <c r="B410" s="11">
        <v>439.18099999999998</v>
      </c>
    </row>
    <row r="411" spans="1:2" x14ac:dyDescent="0.25">
      <c r="A411" s="2">
        <v>44743</v>
      </c>
      <c r="B411" s="11">
        <v>454.40699999999998</v>
      </c>
    </row>
    <row r="412" spans="1:2" x14ac:dyDescent="0.25">
      <c r="A412" s="2">
        <v>44774</v>
      </c>
      <c r="B412" s="11">
        <v>468.721</v>
      </c>
    </row>
    <row r="413" spans="1:2" x14ac:dyDescent="0.25">
      <c r="A413" s="2">
        <v>44805</v>
      </c>
      <c r="B413" s="11">
        <v>478.26299999999998</v>
      </c>
    </row>
    <row r="414" spans="1:2" x14ac:dyDescent="0.25">
      <c r="A414" s="2">
        <v>44835</v>
      </c>
      <c r="B414" s="11">
        <v>478.21600000000001</v>
      </c>
    </row>
    <row r="415" spans="1:2" x14ac:dyDescent="0.25">
      <c r="A415" s="2">
        <v>44866</v>
      </c>
      <c r="B415" s="11">
        <v>471.87700000000001</v>
      </c>
    </row>
    <row r="416" spans="1:2" x14ac:dyDescent="0.25">
      <c r="A416" s="2">
        <v>44896</v>
      </c>
      <c r="B416" s="11">
        <v>469.29</v>
      </c>
    </row>
    <row r="417" spans="1:2" x14ac:dyDescent="0.25">
      <c r="A417" s="2">
        <v>44927</v>
      </c>
      <c r="B417" s="11">
        <v>442.59100000000001</v>
      </c>
    </row>
    <row r="418" spans="1:2" x14ac:dyDescent="0.25">
      <c r="A418" s="2">
        <v>44958</v>
      </c>
      <c r="B418" s="11">
        <v>456.584</v>
      </c>
    </row>
    <row r="419" spans="1:2" x14ac:dyDescent="0.25">
      <c r="A419" s="2">
        <v>44986</v>
      </c>
      <c r="B419" s="11">
        <v>412.08199999999999</v>
      </c>
    </row>
    <row r="420" spans="1:2" x14ac:dyDescent="0.25">
      <c r="A420" s="2">
        <v>45017</v>
      </c>
      <c r="B420" s="11">
        <v>409.59899999999999</v>
      </c>
    </row>
    <row r="421" spans="1:2" x14ac:dyDescent="0.25">
      <c r="A421" s="2">
        <v>45047</v>
      </c>
      <c r="B421" s="11">
        <v>443.79899999999998</v>
      </c>
    </row>
    <row r="422" spans="1:2" x14ac:dyDescent="0.25">
      <c r="A422" s="2">
        <v>45078</v>
      </c>
      <c r="B422" s="11">
        <v>420.69400000000002</v>
      </c>
    </row>
    <row r="423" spans="1:2" x14ac:dyDescent="0.25">
      <c r="A423" s="2">
        <v>45108</v>
      </c>
      <c r="B423" s="11">
        <v>446.214</v>
      </c>
    </row>
    <row r="424" spans="1:2" x14ac:dyDescent="0.25">
      <c r="A424" s="2">
        <v>45139</v>
      </c>
      <c r="B424" s="11">
        <v>462.46199999999999</v>
      </c>
    </row>
    <row r="425" spans="1:2" x14ac:dyDescent="0.25">
      <c r="A425" s="2">
        <v>45170</v>
      </c>
      <c r="B425" s="11">
        <v>441.863</v>
      </c>
    </row>
    <row r="426" spans="1:2" x14ac:dyDescent="0.25">
      <c r="A426" s="2">
        <v>45200</v>
      </c>
      <c r="B426" s="11">
        <v>417.74900000000002</v>
      </c>
    </row>
    <row r="427" spans="1:2" x14ac:dyDescent="0.25">
      <c r="A427" s="2">
        <v>45231</v>
      </c>
      <c r="B427" s="11">
        <v>404.77800000000002</v>
      </c>
    </row>
    <row r="428" spans="1:2" x14ac:dyDescent="0.25">
      <c r="A428" s="2">
        <v>45261</v>
      </c>
      <c r="B428" s="11">
        <v>417.25400000000002</v>
      </c>
    </row>
    <row r="429" spans="1:2" x14ac:dyDescent="0.25">
      <c r="A429" s="2">
        <v>45292</v>
      </c>
      <c r="B429" s="11">
        <v>429.26799999999997</v>
      </c>
    </row>
    <row r="430" spans="1:2" x14ac:dyDescent="0.25">
      <c r="A430" s="2">
        <v>45323</v>
      </c>
      <c r="B430" s="11">
        <v>419.04899999999998</v>
      </c>
    </row>
    <row r="431" spans="1:2" x14ac:dyDescent="0.25">
      <c r="A431" s="2">
        <v>45352</v>
      </c>
      <c r="B431" s="11">
        <v>407.06799999999998</v>
      </c>
    </row>
    <row r="432" spans="1:2" x14ac:dyDescent="0.25">
      <c r="A432" s="2">
        <v>45383</v>
      </c>
      <c r="B432" s="11">
        <v>409.35899999999998</v>
      </c>
    </row>
    <row r="433" spans="1:2" x14ac:dyDescent="0.25">
      <c r="A433" s="2">
        <v>45413</v>
      </c>
      <c r="B433" s="11">
        <v>423.50200000000001</v>
      </c>
    </row>
    <row r="434" spans="1:2" x14ac:dyDescent="0.25">
      <c r="A434" s="2">
        <v>45444</v>
      </c>
      <c r="B434" s="11">
        <v>444.05799999999999</v>
      </c>
    </row>
    <row r="435" spans="1:2" x14ac:dyDescent="0.25">
      <c r="A435" s="2">
        <v>45474</v>
      </c>
      <c r="B435" s="11">
        <v>449.16</v>
      </c>
    </row>
    <row r="436" spans="1:2" x14ac:dyDescent="0.25">
      <c r="A436" s="2">
        <v>45505</v>
      </c>
      <c r="B436" s="11">
        <v>442.029</v>
      </c>
    </row>
    <row r="437" spans="1:2" x14ac:dyDescent="0.25">
      <c r="A437" s="2">
        <v>45536</v>
      </c>
      <c r="B437" s="11">
        <v>423.226</v>
      </c>
    </row>
    <row r="438" spans="1:2" x14ac:dyDescent="0.25">
      <c r="A438" s="2">
        <v>45566</v>
      </c>
      <c r="B438" s="11">
        <v>418.33100000000002</v>
      </c>
    </row>
    <row r="439" spans="1:2" x14ac:dyDescent="0.25">
      <c r="A439" s="2">
        <v>45597</v>
      </c>
      <c r="B439" s="11">
        <v>405.13299999999998</v>
      </c>
    </row>
    <row r="440" spans="1:2" x14ac:dyDescent="0.25">
      <c r="A440" s="2">
        <v>45627</v>
      </c>
      <c r="B440" s="11">
        <v>402.702</v>
      </c>
    </row>
    <row r="441" spans="1:2" x14ac:dyDescent="0.25">
      <c r="A441" s="2">
        <v>45658</v>
      </c>
      <c r="B441" s="11">
        <v>437.69</v>
      </c>
    </row>
    <row r="442" spans="1:2" x14ac:dyDescent="0.25">
      <c r="A442" s="2">
        <v>45689</v>
      </c>
      <c r="B442" s="11">
        <v>447.05</v>
      </c>
    </row>
    <row r="443" spans="1:2" x14ac:dyDescent="0.25">
      <c r="A443" s="2">
        <v>45717</v>
      </c>
      <c r="B443" s="11">
        <v>424.81400000000002</v>
      </c>
    </row>
    <row r="444" spans="1:2" x14ac:dyDescent="0.25">
      <c r="A444" s="2">
        <v>45748</v>
      </c>
      <c r="B444" s="11">
        <v>419.19900000000001</v>
      </c>
    </row>
    <row r="445" spans="1:2" x14ac:dyDescent="0.25">
      <c r="A445" s="2">
        <v>45778</v>
      </c>
      <c r="B445" s="11">
        <v>408.149</v>
      </c>
    </row>
    <row r="446" spans="1:2" x14ac:dyDescent="0.25">
      <c r="A446" s="2">
        <v>45809</v>
      </c>
      <c r="B446" s="11">
        <v>413.505</v>
      </c>
    </row>
    <row r="447" spans="1:2" x14ac:dyDescent="0.25">
      <c r="A447" s="2">
        <v>45839</v>
      </c>
      <c r="B447" s="11">
        <v>401.08</v>
      </c>
    </row>
    <row r="448" spans="1:2" x14ac:dyDescent="0.25">
      <c r="A448" s="2">
        <v>45870</v>
      </c>
      <c r="B448" s="11">
        <v>401.30799999999999</v>
      </c>
    </row>
    <row r="449" spans="1:2" x14ac:dyDescent="0.25">
      <c r="A449" s="2">
        <v>45901</v>
      </c>
      <c r="B449" s="11">
        <v>399.39</v>
      </c>
    </row>
    <row r="450" spans="1:2" x14ac:dyDescent="0.25">
      <c r="A450" s="2">
        <v>45931</v>
      </c>
      <c r="B450" s="11">
        <v>429.77800000000002</v>
      </c>
    </row>
    <row r="451" spans="1:2" x14ac:dyDescent="0.25">
      <c r="A451" s="2">
        <v>45962</v>
      </c>
      <c r="B451" s="11">
        <v>411.42</v>
      </c>
    </row>
    <row r="452" spans="1:2" x14ac:dyDescent="0.25">
      <c r="A452" s="2">
        <v>45992</v>
      </c>
      <c r="B452" s="11">
        <v>425.72199999999998</v>
      </c>
    </row>
    <row r="453" spans="1:2" x14ac:dyDescent="0.25">
      <c r="A453" s="2">
        <v>46023</v>
      </c>
      <c r="B453" s="11">
        <v>430.68900000000002</v>
      </c>
    </row>
    <row r="454" spans="1:2" x14ac:dyDescent="0.25">
      <c r="A454" s="2">
        <v>46054</v>
      </c>
      <c r="B454" s="11">
        <v>430.22899999999998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6EEA-00D2-401F-8BD4-11E63162AE34}">
  <dimension ref="A1:C268"/>
  <sheetViews>
    <sheetView topLeftCell="A233" workbookViewId="0">
      <selection activeCell="A269" sqref="A269"/>
    </sheetView>
  </sheetViews>
  <sheetFormatPr defaultRowHeight="15" x14ac:dyDescent="0.25"/>
  <cols>
    <col min="1" max="1" width="21.140625" customWidth="1"/>
    <col min="2" max="2" width="22.28515625" bestFit="1" customWidth="1"/>
    <col min="3" max="3" width="21.5703125" bestFit="1" customWidth="1"/>
  </cols>
  <sheetData>
    <row r="1" spans="1:3" x14ac:dyDescent="0.25">
      <c r="A1" s="1" t="s">
        <v>0</v>
      </c>
      <c r="B1" s="1" t="s">
        <v>2</v>
      </c>
      <c r="C1" s="1" t="s">
        <v>1</v>
      </c>
    </row>
    <row r="2" spans="1:3" x14ac:dyDescent="0.25">
      <c r="A2" s="2">
        <v>37956</v>
      </c>
      <c r="B2" s="1">
        <v>228.6</v>
      </c>
      <c r="C2" s="1">
        <v>100</v>
      </c>
    </row>
    <row r="3" spans="1:3" x14ac:dyDescent="0.25">
      <c r="A3" s="2">
        <v>37987</v>
      </c>
      <c r="B3" s="1">
        <v>225.3</v>
      </c>
      <c r="C3" s="1">
        <v>101.5</v>
      </c>
    </row>
    <row r="4" spans="1:3" x14ac:dyDescent="0.25">
      <c r="A4" s="2">
        <v>38018</v>
      </c>
      <c r="B4" s="1">
        <v>225.3</v>
      </c>
      <c r="C4" s="1">
        <v>100.5</v>
      </c>
    </row>
    <row r="5" spans="1:3" x14ac:dyDescent="0.25">
      <c r="A5" s="2">
        <v>38047</v>
      </c>
      <c r="B5" s="1">
        <v>226.8</v>
      </c>
      <c r="C5" s="1">
        <v>97.6</v>
      </c>
    </row>
    <row r="6" spans="1:3" x14ac:dyDescent="0.25">
      <c r="A6" s="2">
        <v>38078</v>
      </c>
      <c r="B6" s="1">
        <v>228.7</v>
      </c>
      <c r="C6" s="1">
        <v>97.5</v>
      </c>
    </row>
    <row r="7" spans="1:3" x14ac:dyDescent="0.25">
      <c r="A7" s="2">
        <v>38108</v>
      </c>
      <c r="B7" s="1">
        <v>229.1</v>
      </c>
      <c r="C7" s="1">
        <v>97.5</v>
      </c>
    </row>
    <row r="8" spans="1:3" x14ac:dyDescent="0.25">
      <c r="A8" s="2">
        <v>38139</v>
      </c>
      <c r="B8" s="1">
        <v>228.8</v>
      </c>
      <c r="C8" s="1">
        <v>98.4</v>
      </c>
    </row>
    <row r="9" spans="1:3" x14ac:dyDescent="0.25">
      <c r="A9" s="2">
        <v>38169</v>
      </c>
      <c r="B9" s="1">
        <v>231.7</v>
      </c>
      <c r="C9" s="1">
        <v>101.8</v>
      </c>
    </row>
    <row r="10" spans="1:3" x14ac:dyDescent="0.25">
      <c r="A10" s="2">
        <v>38200</v>
      </c>
      <c r="B10" s="1">
        <v>232.7</v>
      </c>
      <c r="C10" s="1">
        <v>101.8</v>
      </c>
    </row>
    <row r="11" spans="1:3" x14ac:dyDescent="0.25">
      <c r="A11" s="2">
        <v>38231</v>
      </c>
      <c r="B11" s="1">
        <v>234.8</v>
      </c>
      <c r="C11" s="1">
        <v>101.8</v>
      </c>
    </row>
    <row r="12" spans="1:3" x14ac:dyDescent="0.25">
      <c r="A12" s="2">
        <v>38261</v>
      </c>
      <c r="B12" s="1">
        <v>234.8</v>
      </c>
      <c r="C12" s="1">
        <v>100.8</v>
      </c>
    </row>
    <row r="13" spans="1:3" x14ac:dyDescent="0.25">
      <c r="A13" s="2">
        <v>38292</v>
      </c>
      <c r="B13" s="1">
        <v>235.7</v>
      </c>
      <c r="C13" s="1">
        <v>100.8</v>
      </c>
    </row>
    <row r="14" spans="1:3" x14ac:dyDescent="0.25">
      <c r="A14" s="2">
        <v>38322</v>
      </c>
      <c r="B14" s="1">
        <v>235.7</v>
      </c>
      <c r="C14" s="1">
        <v>102.3</v>
      </c>
    </row>
    <row r="15" spans="1:3" x14ac:dyDescent="0.25">
      <c r="A15" s="2">
        <v>38353</v>
      </c>
      <c r="B15" s="1">
        <v>235.9</v>
      </c>
      <c r="C15" s="1">
        <v>101.7</v>
      </c>
    </row>
    <row r="16" spans="1:3" x14ac:dyDescent="0.25">
      <c r="A16" s="2">
        <v>38384</v>
      </c>
      <c r="B16" s="1">
        <v>235.6</v>
      </c>
      <c r="C16" s="1">
        <v>101.7</v>
      </c>
    </row>
    <row r="17" spans="1:3" x14ac:dyDescent="0.25">
      <c r="A17" s="2">
        <v>38412</v>
      </c>
      <c r="B17" s="1">
        <v>237</v>
      </c>
      <c r="C17" s="1">
        <v>102.2</v>
      </c>
    </row>
    <row r="18" spans="1:3" x14ac:dyDescent="0.25">
      <c r="A18" s="2">
        <v>38443</v>
      </c>
      <c r="B18" s="1">
        <v>238.4</v>
      </c>
      <c r="C18" s="1">
        <v>103</v>
      </c>
    </row>
    <row r="19" spans="1:3" x14ac:dyDescent="0.25">
      <c r="A19" s="2">
        <v>38473</v>
      </c>
      <c r="B19" s="1">
        <v>234.5</v>
      </c>
      <c r="C19" s="1">
        <v>103.6</v>
      </c>
    </row>
    <row r="20" spans="1:3" x14ac:dyDescent="0.25">
      <c r="A20" s="2">
        <v>38504</v>
      </c>
      <c r="B20" s="1">
        <v>236.4</v>
      </c>
      <c r="C20" s="1">
        <v>104.2</v>
      </c>
    </row>
    <row r="21" spans="1:3" x14ac:dyDescent="0.25">
      <c r="A21" s="2">
        <v>38534</v>
      </c>
      <c r="B21" s="1">
        <v>237.3</v>
      </c>
      <c r="C21" s="1">
        <v>105.3</v>
      </c>
    </row>
    <row r="22" spans="1:3" x14ac:dyDescent="0.25">
      <c r="A22" s="2">
        <v>38565</v>
      </c>
      <c r="B22" s="1">
        <v>237.6</v>
      </c>
      <c r="C22" s="1">
        <v>105.8</v>
      </c>
    </row>
    <row r="23" spans="1:3" x14ac:dyDescent="0.25">
      <c r="A23" s="2">
        <v>38596</v>
      </c>
      <c r="B23" s="1">
        <v>237.9</v>
      </c>
      <c r="C23" s="1">
        <v>106.9</v>
      </c>
    </row>
    <row r="24" spans="1:3" x14ac:dyDescent="0.25">
      <c r="A24" s="2">
        <v>38626</v>
      </c>
      <c r="B24" s="1">
        <v>238</v>
      </c>
      <c r="C24" s="1">
        <v>108.4</v>
      </c>
    </row>
    <row r="25" spans="1:3" x14ac:dyDescent="0.25">
      <c r="A25" s="2">
        <v>38657</v>
      </c>
      <c r="B25" s="1">
        <v>238.1</v>
      </c>
      <c r="C25" s="1">
        <v>108.5</v>
      </c>
    </row>
    <row r="26" spans="1:3" x14ac:dyDescent="0.25">
      <c r="A26" s="2">
        <v>38687</v>
      </c>
      <c r="B26" s="1">
        <v>236.3</v>
      </c>
      <c r="C26" s="1">
        <v>107.9</v>
      </c>
    </row>
    <row r="27" spans="1:3" x14ac:dyDescent="0.25">
      <c r="A27" s="2">
        <v>38718</v>
      </c>
      <c r="B27" s="1">
        <v>236.3</v>
      </c>
      <c r="C27" s="1">
        <v>107.8</v>
      </c>
    </row>
    <row r="28" spans="1:3" x14ac:dyDescent="0.25">
      <c r="A28" s="2">
        <v>38749</v>
      </c>
      <c r="B28" s="1">
        <v>236.4</v>
      </c>
      <c r="C28" s="1">
        <v>108.6</v>
      </c>
    </row>
    <row r="29" spans="1:3" x14ac:dyDescent="0.25">
      <c r="A29" s="2">
        <v>38777</v>
      </c>
      <c r="B29" s="1">
        <v>240.2</v>
      </c>
      <c r="C29" s="1">
        <v>110.8</v>
      </c>
    </row>
    <row r="30" spans="1:3" x14ac:dyDescent="0.25">
      <c r="A30" s="2">
        <v>38808</v>
      </c>
      <c r="B30" s="1">
        <v>239.5</v>
      </c>
      <c r="C30" s="1">
        <v>106.9</v>
      </c>
    </row>
    <row r="31" spans="1:3" x14ac:dyDescent="0.25">
      <c r="A31" s="2">
        <v>38838</v>
      </c>
      <c r="B31" s="1">
        <v>241</v>
      </c>
      <c r="C31" s="1">
        <v>109.1</v>
      </c>
    </row>
    <row r="32" spans="1:3" x14ac:dyDescent="0.25">
      <c r="A32" s="2">
        <v>38869</v>
      </c>
      <c r="B32" s="1">
        <v>238.8</v>
      </c>
      <c r="C32" s="1">
        <v>110.1</v>
      </c>
    </row>
    <row r="33" spans="1:3" x14ac:dyDescent="0.25">
      <c r="A33" s="2">
        <v>38899</v>
      </c>
      <c r="B33" s="1">
        <v>238.2</v>
      </c>
      <c r="C33" s="1">
        <v>111.3</v>
      </c>
    </row>
    <row r="34" spans="1:3" x14ac:dyDescent="0.25">
      <c r="A34" s="2">
        <v>38930</v>
      </c>
      <c r="B34" s="1">
        <v>238.2</v>
      </c>
      <c r="C34" s="1">
        <v>107.8</v>
      </c>
    </row>
    <row r="35" spans="1:3" x14ac:dyDescent="0.25">
      <c r="A35" s="2">
        <v>38961</v>
      </c>
      <c r="B35" s="1">
        <v>238.1</v>
      </c>
      <c r="C35" s="1">
        <v>107.9</v>
      </c>
    </row>
    <row r="36" spans="1:3" x14ac:dyDescent="0.25">
      <c r="A36" s="2">
        <v>38991</v>
      </c>
      <c r="B36" s="1">
        <v>238.6</v>
      </c>
      <c r="C36" s="1">
        <v>107.3</v>
      </c>
    </row>
    <row r="37" spans="1:3" x14ac:dyDescent="0.25">
      <c r="A37" s="2">
        <v>39022</v>
      </c>
      <c r="B37" s="1">
        <v>237.9</v>
      </c>
      <c r="C37" s="1">
        <v>106.7</v>
      </c>
    </row>
    <row r="38" spans="1:3" x14ac:dyDescent="0.25">
      <c r="A38" s="2">
        <v>39052</v>
      </c>
      <c r="B38" s="1">
        <v>236.8</v>
      </c>
      <c r="C38" s="1">
        <v>106.7</v>
      </c>
    </row>
    <row r="39" spans="1:3" x14ac:dyDescent="0.25">
      <c r="A39" s="2">
        <v>39083</v>
      </c>
      <c r="B39" s="1">
        <v>236.8</v>
      </c>
      <c r="C39" s="1">
        <v>106.9</v>
      </c>
    </row>
    <row r="40" spans="1:3" x14ac:dyDescent="0.25">
      <c r="A40" s="2">
        <v>39114</v>
      </c>
      <c r="B40" s="1">
        <v>232.7</v>
      </c>
      <c r="C40" s="1">
        <v>106</v>
      </c>
    </row>
    <row r="41" spans="1:3" x14ac:dyDescent="0.25">
      <c r="A41" s="2">
        <v>39142</v>
      </c>
      <c r="B41" s="1">
        <v>232.9</v>
      </c>
      <c r="C41" s="1">
        <v>106</v>
      </c>
    </row>
    <row r="42" spans="1:3" x14ac:dyDescent="0.25">
      <c r="A42" s="2">
        <v>39173</v>
      </c>
      <c r="B42" s="1">
        <v>232.9</v>
      </c>
      <c r="C42" s="1">
        <v>106.2</v>
      </c>
    </row>
    <row r="43" spans="1:3" x14ac:dyDescent="0.25">
      <c r="A43" s="2">
        <v>39203</v>
      </c>
      <c r="B43" s="1">
        <v>232.4</v>
      </c>
      <c r="C43" s="1">
        <v>109.4</v>
      </c>
    </row>
    <row r="44" spans="1:3" x14ac:dyDescent="0.25">
      <c r="A44" s="2">
        <v>39234</v>
      </c>
      <c r="B44" s="1">
        <v>231.5</v>
      </c>
      <c r="C44" s="1">
        <v>109.4</v>
      </c>
    </row>
    <row r="45" spans="1:3" x14ac:dyDescent="0.25">
      <c r="A45" s="2">
        <v>39264</v>
      </c>
      <c r="B45" s="1">
        <v>236.4</v>
      </c>
      <c r="C45" s="1">
        <v>109.4</v>
      </c>
    </row>
    <row r="46" spans="1:3" x14ac:dyDescent="0.25">
      <c r="A46" s="2">
        <v>39295</v>
      </c>
      <c r="B46" s="1">
        <v>236.4</v>
      </c>
      <c r="C46" s="1">
        <v>109.4</v>
      </c>
    </row>
    <row r="47" spans="1:3" x14ac:dyDescent="0.25">
      <c r="A47" s="2">
        <v>39326</v>
      </c>
      <c r="B47" s="1">
        <v>236.4</v>
      </c>
      <c r="C47" s="1">
        <v>109.6</v>
      </c>
    </row>
    <row r="48" spans="1:3" x14ac:dyDescent="0.25">
      <c r="A48" s="2">
        <v>39356</v>
      </c>
      <c r="B48" s="1">
        <v>238.2</v>
      </c>
      <c r="C48" s="1">
        <v>111.2</v>
      </c>
    </row>
    <row r="49" spans="1:3" x14ac:dyDescent="0.25">
      <c r="A49" s="2">
        <v>39387</v>
      </c>
      <c r="B49" s="1">
        <v>236.3</v>
      </c>
      <c r="C49" s="1">
        <v>109.5</v>
      </c>
    </row>
    <row r="50" spans="1:3" x14ac:dyDescent="0.25">
      <c r="A50" s="2">
        <v>39417</v>
      </c>
      <c r="B50" s="1">
        <v>236.3</v>
      </c>
      <c r="C50" s="1">
        <v>115.4</v>
      </c>
    </row>
    <row r="51" spans="1:3" x14ac:dyDescent="0.25">
      <c r="A51" s="2">
        <v>39448</v>
      </c>
      <c r="B51" s="1">
        <v>239.1</v>
      </c>
      <c r="C51" s="1">
        <v>116.3</v>
      </c>
    </row>
    <row r="52" spans="1:3" x14ac:dyDescent="0.25">
      <c r="A52" s="2">
        <v>39479</v>
      </c>
      <c r="B52" s="1">
        <v>239.2</v>
      </c>
      <c r="C52" s="1">
        <v>116.4</v>
      </c>
    </row>
    <row r="53" spans="1:3" x14ac:dyDescent="0.25">
      <c r="A53" s="2">
        <v>39508</v>
      </c>
      <c r="B53" s="1">
        <v>242.8</v>
      </c>
      <c r="C53" s="1">
        <v>119.3</v>
      </c>
    </row>
    <row r="54" spans="1:3" x14ac:dyDescent="0.25">
      <c r="A54" s="2">
        <v>39539</v>
      </c>
      <c r="B54" s="1">
        <v>246.4</v>
      </c>
      <c r="C54" s="1">
        <v>126.8</v>
      </c>
    </row>
    <row r="55" spans="1:3" x14ac:dyDescent="0.25">
      <c r="A55" s="2">
        <v>39569</v>
      </c>
      <c r="B55" s="1">
        <v>262</v>
      </c>
      <c r="C55" s="1">
        <v>129.1</v>
      </c>
    </row>
    <row r="56" spans="1:3" x14ac:dyDescent="0.25">
      <c r="A56" s="2">
        <v>39600</v>
      </c>
      <c r="B56" s="1">
        <v>267.89999999999998</v>
      </c>
      <c r="C56" s="1">
        <v>132.6</v>
      </c>
    </row>
    <row r="57" spans="1:3" x14ac:dyDescent="0.25">
      <c r="A57" s="2">
        <v>39630</v>
      </c>
      <c r="B57" s="1">
        <v>272.7</v>
      </c>
      <c r="C57" s="1">
        <v>132.69999999999999</v>
      </c>
    </row>
    <row r="58" spans="1:3" x14ac:dyDescent="0.25">
      <c r="A58" s="2">
        <v>39661</v>
      </c>
      <c r="B58" s="1">
        <v>287.2</v>
      </c>
      <c r="C58" s="1">
        <v>136.19999999999999</v>
      </c>
    </row>
    <row r="59" spans="1:3" x14ac:dyDescent="0.25">
      <c r="A59" s="2">
        <v>39692</v>
      </c>
      <c r="B59" s="1">
        <v>290.5</v>
      </c>
      <c r="C59" s="1">
        <v>133.6</v>
      </c>
    </row>
    <row r="60" spans="1:3" x14ac:dyDescent="0.25">
      <c r="A60" s="2">
        <v>39722</v>
      </c>
      <c r="B60" s="1">
        <v>285.60000000000002</v>
      </c>
      <c r="C60" s="1">
        <v>131.30000000000001</v>
      </c>
    </row>
    <row r="61" spans="1:3" x14ac:dyDescent="0.25">
      <c r="A61" s="2">
        <v>39753</v>
      </c>
      <c r="B61" s="1">
        <v>269.5</v>
      </c>
      <c r="C61" s="1">
        <v>129.5</v>
      </c>
    </row>
    <row r="62" spans="1:3" x14ac:dyDescent="0.25">
      <c r="A62" s="2">
        <v>39783</v>
      </c>
      <c r="B62" s="1">
        <v>263.8</v>
      </c>
      <c r="C62" s="1">
        <v>129.6</v>
      </c>
    </row>
    <row r="63" spans="1:3" x14ac:dyDescent="0.25">
      <c r="A63" s="2">
        <v>39814</v>
      </c>
      <c r="B63" s="1">
        <v>239.5</v>
      </c>
      <c r="C63" s="1">
        <v>127.6</v>
      </c>
    </row>
    <row r="64" spans="1:3" x14ac:dyDescent="0.25">
      <c r="A64" s="2">
        <v>39845</v>
      </c>
      <c r="B64" s="1">
        <v>230.1</v>
      </c>
      <c r="C64" s="1">
        <v>123.6</v>
      </c>
    </row>
    <row r="65" spans="1:3" x14ac:dyDescent="0.25">
      <c r="A65" s="2">
        <v>39873</v>
      </c>
      <c r="B65" s="1">
        <v>230.6</v>
      </c>
      <c r="C65" s="1">
        <v>119</v>
      </c>
    </row>
    <row r="66" spans="1:3" x14ac:dyDescent="0.25">
      <c r="A66" s="2">
        <v>39904</v>
      </c>
      <c r="B66" s="1">
        <v>231.7</v>
      </c>
      <c r="C66" s="1">
        <v>117.7</v>
      </c>
    </row>
    <row r="67" spans="1:3" x14ac:dyDescent="0.25">
      <c r="A67" s="2">
        <v>39934</v>
      </c>
      <c r="B67" s="1">
        <v>213.3</v>
      </c>
      <c r="C67" s="1">
        <v>118.6</v>
      </c>
    </row>
    <row r="68" spans="1:3" x14ac:dyDescent="0.25">
      <c r="A68" s="2">
        <v>39965</v>
      </c>
      <c r="B68" s="1">
        <v>213.5</v>
      </c>
      <c r="C68" s="1">
        <v>116</v>
      </c>
    </row>
    <row r="69" spans="1:3" x14ac:dyDescent="0.25">
      <c r="A69" s="2">
        <v>39995</v>
      </c>
      <c r="B69" s="1">
        <v>214.8</v>
      </c>
      <c r="C69" s="1">
        <v>116.4</v>
      </c>
    </row>
    <row r="70" spans="1:3" x14ac:dyDescent="0.25">
      <c r="A70" s="2">
        <v>40026</v>
      </c>
      <c r="B70" s="1">
        <v>216.8</v>
      </c>
      <c r="C70" s="1">
        <v>116.5</v>
      </c>
    </row>
    <row r="71" spans="1:3" x14ac:dyDescent="0.25">
      <c r="A71" s="2">
        <v>40057</v>
      </c>
      <c r="B71" s="1">
        <v>220.2</v>
      </c>
      <c r="C71" s="1">
        <v>116.7</v>
      </c>
    </row>
    <row r="72" spans="1:3" x14ac:dyDescent="0.25">
      <c r="A72" s="2">
        <v>40087</v>
      </c>
      <c r="B72" s="1">
        <v>222.6</v>
      </c>
      <c r="C72" s="1">
        <v>116.7</v>
      </c>
    </row>
    <row r="73" spans="1:3" x14ac:dyDescent="0.25">
      <c r="A73" s="2">
        <v>40118</v>
      </c>
      <c r="B73" s="1">
        <v>223.7</v>
      </c>
      <c r="C73" s="1">
        <v>120.2</v>
      </c>
    </row>
    <row r="74" spans="1:3" x14ac:dyDescent="0.25">
      <c r="A74" s="2">
        <v>40148</v>
      </c>
      <c r="B74" s="1">
        <v>226</v>
      </c>
      <c r="C74" s="1">
        <v>120.3</v>
      </c>
    </row>
    <row r="75" spans="1:3" x14ac:dyDescent="0.25">
      <c r="A75" s="2">
        <v>40179</v>
      </c>
      <c r="B75" s="1">
        <v>232.1</v>
      </c>
      <c r="C75" s="1">
        <v>125.7</v>
      </c>
    </row>
    <row r="76" spans="1:3" x14ac:dyDescent="0.25">
      <c r="A76" s="2">
        <v>40210</v>
      </c>
      <c r="B76" s="1">
        <v>234.4</v>
      </c>
      <c r="C76" s="1">
        <v>129.5</v>
      </c>
    </row>
    <row r="77" spans="1:3" x14ac:dyDescent="0.25">
      <c r="A77" s="2">
        <v>40238</v>
      </c>
      <c r="B77" s="1">
        <v>234.4</v>
      </c>
      <c r="C77" s="1">
        <v>129.4</v>
      </c>
    </row>
    <row r="78" spans="1:3" x14ac:dyDescent="0.25">
      <c r="A78" s="2">
        <v>40269</v>
      </c>
      <c r="B78" s="1">
        <v>242.1</v>
      </c>
      <c r="C78" s="1">
        <v>129.5</v>
      </c>
    </row>
    <row r="79" spans="1:3" x14ac:dyDescent="0.25">
      <c r="A79" s="2">
        <v>40299</v>
      </c>
      <c r="B79" s="1">
        <v>249.5</v>
      </c>
      <c r="C79" s="1">
        <v>129.9</v>
      </c>
    </row>
    <row r="80" spans="1:3" x14ac:dyDescent="0.25">
      <c r="A80" s="2">
        <v>40330</v>
      </c>
      <c r="B80" s="1">
        <v>253.1</v>
      </c>
      <c r="C80" s="1">
        <v>129.9</v>
      </c>
    </row>
    <row r="81" spans="1:3" x14ac:dyDescent="0.25">
      <c r="A81" s="2">
        <v>40360</v>
      </c>
      <c r="B81" s="1">
        <v>260.10000000000002</v>
      </c>
      <c r="C81" s="1">
        <v>129.80000000000001</v>
      </c>
    </row>
    <row r="82" spans="1:3" x14ac:dyDescent="0.25">
      <c r="A82" s="2">
        <v>40391</v>
      </c>
      <c r="B82" s="1">
        <v>260.10000000000002</v>
      </c>
      <c r="C82" s="1">
        <v>129.9</v>
      </c>
    </row>
    <row r="83" spans="1:3" x14ac:dyDescent="0.25">
      <c r="A83" s="2">
        <v>40422</v>
      </c>
      <c r="B83" s="1">
        <v>260.2</v>
      </c>
      <c r="C83" s="1">
        <v>129.9</v>
      </c>
    </row>
    <row r="84" spans="1:3" x14ac:dyDescent="0.25">
      <c r="A84" s="2">
        <v>40452</v>
      </c>
      <c r="B84" s="1">
        <v>258.2</v>
      </c>
      <c r="C84" s="1">
        <v>132.4</v>
      </c>
    </row>
    <row r="85" spans="1:3" x14ac:dyDescent="0.25">
      <c r="A85" s="2">
        <v>40483</v>
      </c>
      <c r="B85" s="1">
        <v>258.2</v>
      </c>
      <c r="C85" s="1">
        <v>132.4</v>
      </c>
    </row>
    <row r="86" spans="1:3" x14ac:dyDescent="0.25">
      <c r="A86" s="2">
        <v>40513</v>
      </c>
      <c r="B86" s="1">
        <v>258.2</v>
      </c>
      <c r="C86" s="1">
        <v>134.1</v>
      </c>
    </row>
    <row r="87" spans="1:3" x14ac:dyDescent="0.25">
      <c r="A87" s="2">
        <v>40544</v>
      </c>
      <c r="B87" s="1">
        <v>259.3</v>
      </c>
      <c r="C87" s="1">
        <v>134.80000000000001</v>
      </c>
    </row>
    <row r="88" spans="1:3" x14ac:dyDescent="0.25">
      <c r="A88" s="2">
        <v>40575</v>
      </c>
      <c r="B88" s="1">
        <v>262.3</v>
      </c>
      <c r="C88" s="1">
        <v>135.80000000000001</v>
      </c>
    </row>
    <row r="89" spans="1:3" x14ac:dyDescent="0.25">
      <c r="A89" s="2">
        <v>40603</v>
      </c>
      <c r="B89" s="1">
        <v>269.2</v>
      </c>
      <c r="C89" s="1">
        <v>140.5</v>
      </c>
    </row>
    <row r="90" spans="1:3" x14ac:dyDescent="0.25">
      <c r="A90" s="2">
        <v>40634</v>
      </c>
      <c r="B90" s="1">
        <v>271.10000000000002</v>
      </c>
      <c r="C90" s="1">
        <v>143.9</v>
      </c>
    </row>
    <row r="91" spans="1:3" x14ac:dyDescent="0.25">
      <c r="A91" s="2">
        <v>40664</v>
      </c>
      <c r="B91" s="1">
        <v>273.39999999999998</v>
      </c>
      <c r="C91" s="1">
        <v>146.19999999999999</v>
      </c>
    </row>
    <row r="92" spans="1:3" x14ac:dyDescent="0.25">
      <c r="A92" s="2">
        <v>40695</v>
      </c>
      <c r="B92" s="1">
        <v>271.7</v>
      </c>
      <c r="C92" s="1">
        <v>149.5</v>
      </c>
    </row>
    <row r="93" spans="1:3" x14ac:dyDescent="0.25">
      <c r="A93" s="2">
        <v>40725</v>
      </c>
      <c r="B93" s="1">
        <v>260</v>
      </c>
      <c r="C93" s="1">
        <v>148.80000000000001</v>
      </c>
    </row>
    <row r="94" spans="1:3" x14ac:dyDescent="0.25">
      <c r="A94" s="2">
        <v>40756</v>
      </c>
      <c r="B94" s="1">
        <v>253.2</v>
      </c>
      <c r="C94" s="1">
        <v>148.6</v>
      </c>
    </row>
    <row r="95" spans="1:3" x14ac:dyDescent="0.25">
      <c r="A95" s="2">
        <v>40787</v>
      </c>
      <c r="B95" s="1">
        <v>252.3</v>
      </c>
      <c r="C95" s="1">
        <v>149.30000000000001</v>
      </c>
    </row>
    <row r="96" spans="1:3" x14ac:dyDescent="0.25">
      <c r="A96" s="2">
        <v>40817</v>
      </c>
      <c r="B96" s="1">
        <v>245.1</v>
      </c>
      <c r="C96" s="1">
        <v>149.4</v>
      </c>
    </row>
    <row r="97" spans="1:3" x14ac:dyDescent="0.25">
      <c r="A97" s="2">
        <v>40848</v>
      </c>
      <c r="B97" s="1">
        <v>249.3</v>
      </c>
      <c r="C97" s="1">
        <v>149.4</v>
      </c>
    </row>
    <row r="98" spans="1:3" x14ac:dyDescent="0.25">
      <c r="A98" s="2">
        <v>40878</v>
      </c>
      <c r="B98" s="1">
        <v>244.6</v>
      </c>
      <c r="C98" s="1">
        <v>154.80000000000001</v>
      </c>
    </row>
    <row r="99" spans="1:3" x14ac:dyDescent="0.25">
      <c r="A99" s="2">
        <v>40909</v>
      </c>
      <c r="B99" s="1">
        <v>244.7</v>
      </c>
      <c r="C99" s="1">
        <v>155.30000000000001</v>
      </c>
    </row>
    <row r="100" spans="1:3" x14ac:dyDescent="0.25">
      <c r="A100" s="2">
        <v>40940</v>
      </c>
      <c r="B100" s="1">
        <v>248</v>
      </c>
      <c r="C100" s="1">
        <v>155.80000000000001</v>
      </c>
    </row>
    <row r="101" spans="1:3" x14ac:dyDescent="0.25">
      <c r="A101" s="2">
        <v>40969</v>
      </c>
      <c r="B101" s="1">
        <v>257.2</v>
      </c>
      <c r="C101" s="1">
        <v>156.19999999999999</v>
      </c>
    </row>
    <row r="102" spans="1:3" x14ac:dyDescent="0.25">
      <c r="A102" s="2">
        <v>41000</v>
      </c>
      <c r="B102" s="1">
        <v>258.89999999999998</v>
      </c>
      <c r="C102" s="1">
        <v>156.69999999999999</v>
      </c>
    </row>
    <row r="103" spans="1:3" x14ac:dyDescent="0.25">
      <c r="A103" s="2">
        <v>41030</v>
      </c>
      <c r="B103" s="1">
        <v>259</v>
      </c>
      <c r="C103" s="1">
        <v>156.30000000000001</v>
      </c>
    </row>
    <row r="104" spans="1:3" x14ac:dyDescent="0.25">
      <c r="A104" s="2">
        <v>41061</v>
      </c>
      <c r="B104" s="1">
        <v>257.8</v>
      </c>
      <c r="C104" s="1">
        <v>155.80000000000001</v>
      </c>
    </row>
    <row r="105" spans="1:3" x14ac:dyDescent="0.25">
      <c r="A105" s="2">
        <v>41091</v>
      </c>
      <c r="B105" s="1">
        <v>257.39999999999998</v>
      </c>
      <c r="C105" s="1">
        <v>155.30000000000001</v>
      </c>
    </row>
    <row r="106" spans="1:3" x14ac:dyDescent="0.25">
      <c r="A106" s="2">
        <v>41122</v>
      </c>
      <c r="B106" s="1">
        <v>258.3</v>
      </c>
      <c r="C106" s="1">
        <v>155.30000000000001</v>
      </c>
    </row>
    <row r="107" spans="1:3" x14ac:dyDescent="0.25">
      <c r="A107" s="2">
        <v>41153</v>
      </c>
      <c r="B107" s="1">
        <v>257.39999999999998</v>
      </c>
      <c r="C107" s="1">
        <v>155.80000000000001</v>
      </c>
    </row>
    <row r="108" spans="1:3" x14ac:dyDescent="0.25">
      <c r="A108" s="2">
        <v>41183</v>
      </c>
      <c r="B108" s="1">
        <v>254.1</v>
      </c>
      <c r="C108" s="1">
        <v>156.1</v>
      </c>
    </row>
    <row r="109" spans="1:3" x14ac:dyDescent="0.25">
      <c r="A109" s="2">
        <v>41214</v>
      </c>
      <c r="B109" s="1">
        <v>254.6</v>
      </c>
      <c r="C109" s="1">
        <v>155.9</v>
      </c>
    </row>
    <row r="110" spans="1:3" x14ac:dyDescent="0.25">
      <c r="A110" s="2">
        <v>41244</v>
      </c>
      <c r="B110" s="1">
        <v>255.8</v>
      </c>
      <c r="C110" s="1">
        <v>155.6</v>
      </c>
    </row>
    <row r="111" spans="1:3" x14ac:dyDescent="0.25">
      <c r="A111" s="2">
        <v>41275</v>
      </c>
      <c r="B111" s="1">
        <v>256.10000000000002</v>
      </c>
      <c r="C111" s="1">
        <v>156.30000000000001</v>
      </c>
    </row>
    <row r="112" spans="1:3" x14ac:dyDescent="0.25">
      <c r="A112" s="2">
        <v>41306</v>
      </c>
      <c r="B112" s="1">
        <v>254.9</v>
      </c>
      <c r="C112" s="1">
        <v>156.4</v>
      </c>
    </row>
    <row r="113" spans="1:3" x14ac:dyDescent="0.25">
      <c r="A113" s="2">
        <v>41334</v>
      </c>
      <c r="B113" s="1">
        <v>255.3</v>
      </c>
      <c r="C113" s="1">
        <v>156.9</v>
      </c>
    </row>
    <row r="114" spans="1:3" x14ac:dyDescent="0.25">
      <c r="A114" s="2">
        <v>41365</v>
      </c>
      <c r="B114" s="1">
        <v>249.5</v>
      </c>
      <c r="C114" s="1">
        <v>156.6</v>
      </c>
    </row>
    <row r="115" spans="1:3" x14ac:dyDescent="0.25">
      <c r="A115" s="2">
        <v>41395</v>
      </c>
      <c r="B115" s="1">
        <v>253.9</v>
      </c>
      <c r="C115" s="1">
        <v>156.30000000000001</v>
      </c>
    </row>
    <row r="116" spans="1:3" x14ac:dyDescent="0.25">
      <c r="A116" s="2">
        <v>41426</v>
      </c>
      <c r="B116" s="1">
        <v>252.3</v>
      </c>
      <c r="C116" s="1">
        <v>156</v>
      </c>
    </row>
    <row r="117" spans="1:3" x14ac:dyDescent="0.25">
      <c r="A117" s="2">
        <v>41456</v>
      </c>
      <c r="B117" s="1">
        <v>253.8</v>
      </c>
      <c r="C117" s="1">
        <v>156.5</v>
      </c>
    </row>
    <row r="118" spans="1:3" x14ac:dyDescent="0.25">
      <c r="A118" s="2">
        <v>41487</v>
      </c>
      <c r="B118" s="1">
        <v>253.7</v>
      </c>
      <c r="C118" s="1">
        <v>156.80000000000001</v>
      </c>
    </row>
    <row r="119" spans="1:3" x14ac:dyDescent="0.25">
      <c r="A119" s="2">
        <v>41518</v>
      </c>
      <c r="B119" s="1">
        <v>254.8</v>
      </c>
      <c r="C119" s="1">
        <v>157.19999999999999</v>
      </c>
    </row>
    <row r="120" spans="1:3" x14ac:dyDescent="0.25">
      <c r="A120" s="2">
        <v>41548</v>
      </c>
      <c r="B120" s="1">
        <v>254.6</v>
      </c>
      <c r="C120" s="1">
        <v>157.30000000000001</v>
      </c>
    </row>
    <row r="121" spans="1:3" x14ac:dyDescent="0.25">
      <c r="A121" s="2">
        <v>41579</v>
      </c>
      <c r="B121" s="1">
        <v>252.5</v>
      </c>
      <c r="C121" s="1">
        <v>157.30000000000001</v>
      </c>
    </row>
    <row r="122" spans="1:3" x14ac:dyDescent="0.25">
      <c r="A122" s="2">
        <v>41609</v>
      </c>
      <c r="B122" s="1">
        <v>263.2</v>
      </c>
      <c r="C122" s="1">
        <v>157.19999999999999</v>
      </c>
    </row>
    <row r="123" spans="1:3" x14ac:dyDescent="0.25">
      <c r="A123" s="2">
        <v>41640</v>
      </c>
      <c r="B123" s="1">
        <v>268.60000000000002</v>
      </c>
      <c r="C123" s="1">
        <v>157.30000000000001</v>
      </c>
    </row>
    <row r="124" spans="1:3" x14ac:dyDescent="0.25">
      <c r="A124" s="2">
        <v>41671</v>
      </c>
      <c r="B124" s="1">
        <v>267.89999999999998</v>
      </c>
      <c r="C124" s="1">
        <v>157.1</v>
      </c>
    </row>
    <row r="125" spans="1:3" x14ac:dyDescent="0.25">
      <c r="A125" s="2">
        <v>41699</v>
      </c>
      <c r="B125" s="1">
        <v>267.7</v>
      </c>
      <c r="C125" s="1">
        <v>158.1</v>
      </c>
    </row>
    <row r="126" spans="1:3" x14ac:dyDescent="0.25">
      <c r="A126" s="2">
        <v>41730</v>
      </c>
      <c r="B126" s="1">
        <v>269</v>
      </c>
      <c r="C126" s="1">
        <v>157.30000000000001</v>
      </c>
    </row>
    <row r="127" spans="1:3" x14ac:dyDescent="0.25">
      <c r="A127" s="2">
        <v>41760</v>
      </c>
      <c r="B127" s="1">
        <v>269.7</v>
      </c>
      <c r="C127" s="1">
        <v>157.6</v>
      </c>
    </row>
    <row r="128" spans="1:3" x14ac:dyDescent="0.25">
      <c r="A128" s="2">
        <v>41791</v>
      </c>
      <c r="B128" s="1">
        <v>270.60000000000002</v>
      </c>
      <c r="C128" s="1">
        <v>157.69999999999999</v>
      </c>
    </row>
    <row r="129" spans="1:3" x14ac:dyDescent="0.25">
      <c r="A129" s="2">
        <v>41821</v>
      </c>
      <c r="B129" s="1">
        <v>268.2</v>
      </c>
      <c r="C129" s="1">
        <v>157.5</v>
      </c>
    </row>
    <row r="130" spans="1:3" x14ac:dyDescent="0.25">
      <c r="A130" s="2">
        <v>41852</v>
      </c>
      <c r="B130" s="1">
        <v>268.2</v>
      </c>
      <c r="C130" s="1">
        <v>157.30000000000001</v>
      </c>
    </row>
    <row r="131" spans="1:3" x14ac:dyDescent="0.25">
      <c r="A131" s="2">
        <v>41883</v>
      </c>
      <c r="B131" s="1">
        <v>267.89999999999998</v>
      </c>
      <c r="C131" s="1">
        <v>157.4</v>
      </c>
    </row>
    <row r="132" spans="1:3" x14ac:dyDescent="0.25">
      <c r="A132" s="2">
        <v>41913</v>
      </c>
      <c r="B132" s="1">
        <v>267.10000000000002</v>
      </c>
      <c r="C132" s="1">
        <v>156.80000000000001</v>
      </c>
    </row>
    <row r="133" spans="1:3" x14ac:dyDescent="0.25">
      <c r="A133" s="2">
        <v>41944</v>
      </c>
      <c r="B133" s="1">
        <v>266.7</v>
      </c>
      <c r="C133" s="1">
        <v>155.5</v>
      </c>
    </row>
    <row r="134" spans="1:3" x14ac:dyDescent="0.25">
      <c r="A134" s="2">
        <v>41974</v>
      </c>
      <c r="B134" s="1">
        <v>266.60000000000002</v>
      </c>
      <c r="C134" s="1">
        <v>154.80000000000001</v>
      </c>
    </row>
    <row r="135" spans="1:3" x14ac:dyDescent="0.25">
      <c r="A135" s="2">
        <v>42005</v>
      </c>
      <c r="B135" s="1">
        <v>265.5</v>
      </c>
      <c r="C135" s="1">
        <v>150.69999999999999</v>
      </c>
    </row>
    <row r="136" spans="1:3" x14ac:dyDescent="0.25">
      <c r="A136" s="2">
        <v>42036</v>
      </c>
      <c r="B136" s="1">
        <v>273.2</v>
      </c>
      <c r="C136" s="1">
        <v>150.69999999999999</v>
      </c>
    </row>
    <row r="137" spans="1:3" x14ac:dyDescent="0.25">
      <c r="A137" s="2">
        <v>42064</v>
      </c>
      <c r="B137" s="1">
        <v>273.89999999999998</v>
      </c>
      <c r="C137" s="1">
        <v>150.9</v>
      </c>
    </row>
    <row r="138" spans="1:3" x14ac:dyDescent="0.25">
      <c r="A138" s="2">
        <v>42095</v>
      </c>
      <c r="B138" s="1">
        <v>275</v>
      </c>
      <c r="C138" s="1">
        <v>154.19999999999999</v>
      </c>
    </row>
    <row r="139" spans="1:3" x14ac:dyDescent="0.25">
      <c r="A139" s="2">
        <v>42125</v>
      </c>
      <c r="B139" s="1">
        <v>274.89999999999998</v>
      </c>
      <c r="C139" s="1">
        <v>155.4</v>
      </c>
    </row>
    <row r="140" spans="1:3" x14ac:dyDescent="0.25">
      <c r="A140" s="2">
        <v>42156</v>
      </c>
      <c r="B140" s="1">
        <v>268.8</v>
      </c>
      <c r="C140" s="1">
        <v>154.69999999999999</v>
      </c>
    </row>
    <row r="141" spans="1:3" x14ac:dyDescent="0.25">
      <c r="A141" s="2">
        <v>42186</v>
      </c>
      <c r="B141" s="1">
        <v>264.5</v>
      </c>
      <c r="C141" s="1">
        <v>149.19999999999999</v>
      </c>
    </row>
    <row r="142" spans="1:3" x14ac:dyDescent="0.25">
      <c r="A142" s="2">
        <v>42217</v>
      </c>
      <c r="B142" s="1">
        <v>263.39999999999998</v>
      </c>
      <c r="C142" s="1">
        <v>148.69999999999999</v>
      </c>
    </row>
    <row r="143" spans="1:3" x14ac:dyDescent="0.25">
      <c r="A143" s="2">
        <v>42248</v>
      </c>
      <c r="B143" s="1">
        <v>258</v>
      </c>
      <c r="C143" s="1">
        <v>145.30000000000001</v>
      </c>
    </row>
    <row r="144" spans="1:3" x14ac:dyDescent="0.25">
      <c r="A144" s="2">
        <v>42278</v>
      </c>
      <c r="B144" s="1">
        <v>258.2</v>
      </c>
      <c r="C144" s="1">
        <v>152.5</v>
      </c>
    </row>
    <row r="145" spans="1:3" x14ac:dyDescent="0.25">
      <c r="A145" s="2">
        <v>42309</v>
      </c>
      <c r="B145" s="1">
        <v>254.6</v>
      </c>
      <c r="C145" s="1">
        <v>151.4</v>
      </c>
    </row>
    <row r="146" spans="1:3" x14ac:dyDescent="0.25">
      <c r="A146" s="2">
        <v>42339</v>
      </c>
      <c r="B146" s="1">
        <v>247.9</v>
      </c>
      <c r="C146" s="1">
        <v>153.30000000000001</v>
      </c>
    </row>
    <row r="147" spans="1:3" x14ac:dyDescent="0.25">
      <c r="A147" s="2">
        <v>42370</v>
      </c>
      <c r="B147" s="1">
        <v>245.2</v>
      </c>
      <c r="C147" s="1">
        <v>155.30000000000001</v>
      </c>
    </row>
    <row r="148" spans="1:3" x14ac:dyDescent="0.25">
      <c r="A148" s="2">
        <v>42401</v>
      </c>
      <c r="B148" s="1">
        <v>241.1</v>
      </c>
      <c r="C148" s="1">
        <v>153.5</v>
      </c>
    </row>
    <row r="149" spans="1:3" x14ac:dyDescent="0.25">
      <c r="A149" s="2">
        <v>42430</v>
      </c>
      <c r="B149" s="1">
        <v>243.5</v>
      </c>
      <c r="C149" s="1">
        <v>152.69999999999999</v>
      </c>
    </row>
    <row r="150" spans="1:3" x14ac:dyDescent="0.25">
      <c r="A150" s="2">
        <v>42461</v>
      </c>
      <c r="B150" s="1">
        <v>242.2</v>
      </c>
      <c r="C150" s="1">
        <v>151.9</v>
      </c>
    </row>
    <row r="151" spans="1:3" x14ac:dyDescent="0.25">
      <c r="A151" s="2">
        <v>42491</v>
      </c>
      <c r="B151" s="1">
        <v>242.9</v>
      </c>
      <c r="C151" s="1">
        <v>154.1</v>
      </c>
    </row>
    <row r="152" spans="1:3" x14ac:dyDescent="0.25">
      <c r="A152" s="2">
        <v>42522</v>
      </c>
      <c r="B152" s="1">
        <v>244.4</v>
      </c>
      <c r="C152" s="1">
        <v>148.19999999999999</v>
      </c>
    </row>
    <row r="153" spans="1:3" x14ac:dyDescent="0.25">
      <c r="A153" s="2">
        <v>42552</v>
      </c>
      <c r="B153" s="1">
        <v>242.1</v>
      </c>
      <c r="C153" s="1">
        <v>153.5</v>
      </c>
    </row>
    <row r="154" spans="1:3" x14ac:dyDescent="0.25">
      <c r="A154" s="2">
        <v>42583</v>
      </c>
      <c r="B154" s="1">
        <v>246.1</v>
      </c>
      <c r="C154" s="1">
        <v>151.1</v>
      </c>
    </row>
    <row r="155" spans="1:3" x14ac:dyDescent="0.25">
      <c r="A155" s="2">
        <v>42614</v>
      </c>
      <c r="B155" s="1">
        <v>246.1</v>
      </c>
      <c r="C155" s="1">
        <v>148.80000000000001</v>
      </c>
    </row>
    <row r="156" spans="1:3" x14ac:dyDescent="0.25">
      <c r="A156" s="2">
        <v>42644</v>
      </c>
      <c r="B156" s="1">
        <v>254.5</v>
      </c>
      <c r="C156" s="1">
        <v>147.9</v>
      </c>
    </row>
    <row r="157" spans="1:3" x14ac:dyDescent="0.25">
      <c r="A157" s="2">
        <v>42675</v>
      </c>
      <c r="B157" s="1">
        <v>255.1</v>
      </c>
      <c r="C157" s="1">
        <v>148.69999999999999</v>
      </c>
    </row>
    <row r="158" spans="1:3" x14ac:dyDescent="0.25">
      <c r="A158" s="2">
        <v>42705</v>
      </c>
      <c r="B158" s="1">
        <v>258.2</v>
      </c>
      <c r="C158" s="1">
        <v>151.80000000000001</v>
      </c>
    </row>
    <row r="159" spans="1:3" x14ac:dyDescent="0.25">
      <c r="A159" s="2">
        <v>42736</v>
      </c>
      <c r="B159" s="1">
        <v>260.39999999999998</v>
      </c>
      <c r="C159" s="1">
        <v>151.69999999999999</v>
      </c>
    </row>
    <row r="160" spans="1:3" x14ac:dyDescent="0.25">
      <c r="A160" s="2">
        <v>42767</v>
      </c>
      <c r="B160" s="1">
        <v>263.8</v>
      </c>
      <c r="C160" s="1">
        <v>148.80000000000001</v>
      </c>
    </row>
    <row r="161" spans="1:3" x14ac:dyDescent="0.25">
      <c r="A161" s="2">
        <v>42795</v>
      </c>
      <c r="B161" s="1">
        <v>262.3</v>
      </c>
      <c r="C161" s="1">
        <v>150.6</v>
      </c>
    </row>
    <row r="162" spans="1:3" x14ac:dyDescent="0.25">
      <c r="A162" s="2">
        <v>42826</v>
      </c>
      <c r="B162" s="1">
        <v>265</v>
      </c>
      <c r="C162" s="1">
        <v>149.69999999999999</v>
      </c>
    </row>
    <row r="163" spans="1:3" x14ac:dyDescent="0.25">
      <c r="A163" s="2">
        <v>42856</v>
      </c>
      <c r="B163" s="1">
        <v>267.89999999999998</v>
      </c>
      <c r="C163" s="1">
        <v>147.30000000000001</v>
      </c>
    </row>
    <row r="164" spans="1:3" x14ac:dyDescent="0.25">
      <c r="A164" s="2">
        <v>42887</v>
      </c>
      <c r="B164" s="1">
        <v>267.8</v>
      </c>
      <c r="C164" s="1">
        <v>152</v>
      </c>
    </row>
    <row r="165" spans="1:3" x14ac:dyDescent="0.25">
      <c r="A165" s="2">
        <v>42917</v>
      </c>
      <c r="B165" s="1">
        <v>269.8</v>
      </c>
      <c r="C165" s="1">
        <v>149.6</v>
      </c>
    </row>
    <row r="166" spans="1:3" x14ac:dyDescent="0.25">
      <c r="A166" s="2">
        <v>42948</v>
      </c>
      <c r="B166" s="1">
        <v>270</v>
      </c>
      <c r="C166" s="1">
        <v>150.4</v>
      </c>
    </row>
    <row r="167" spans="1:3" x14ac:dyDescent="0.25">
      <c r="A167" s="2">
        <v>42979</v>
      </c>
      <c r="B167" s="1">
        <v>270.39999999999998</v>
      </c>
      <c r="C167" s="1">
        <v>151.19999999999999</v>
      </c>
    </row>
    <row r="168" spans="1:3" x14ac:dyDescent="0.25">
      <c r="A168" s="2">
        <v>43009</v>
      </c>
      <c r="B168" s="1">
        <v>268.7</v>
      </c>
      <c r="C168" s="1">
        <v>150.4</v>
      </c>
    </row>
    <row r="169" spans="1:3" x14ac:dyDescent="0.25">
      <c r="A169" s="2">
        <v>43040</v>
      </c>
      <c r="B169" s="1">
        <v>278.39999999999998</v>
      </c>
      <c r="C169" s="1">
        <v>151.19999999999999</v>
      </c>
    </row>
    <row r="170" spans="1:3" x14ac:dyDescent="0.25">
      <c r="A170" s="2">
        <v>43070</v>
      </c>
      <c r="B170" s="1">
        <v>276.7</v>
      </c>
      <c r="C170" s="1">
        <v>151.9</v>
      </c>
    </row>
    <row r="171" spans="1:3" x14ac:dyDescent="0.25">
      <c r="A171" s="2">
        <v>43101</v>
      </c>
      <c r="B171" s="1">
        <v>281</v>
      </c>
      <c r="C171" s="1">
        <v>152</v>
      </c>
    </row>
    <row r="172" spans="1:3" x14ac:dyDescent="0.25">
      <c r="A172" s="2">
        <v>43132</v>
      </c>
      <c r="B172" s="1">
        <v>281.39999999999998</v>
      </c>
      <c r="C172" s="1">
        <v>152.5</v>
      </c>
    </row>
    <row r="173" spans="1:3" x14ac:dyDescent="0.25">
      <c r="A173" s="2">
        <v>43160</v>
      </c>
      <c r="B173" s="1">
        <v>281.5</v>
      </c>
      <c r="C173" s="1">
        <v>154.9</v>
      </c>
    </row>
    <row r="174" spans="1:3" x14ac:dyDescent="0.25">
      <c r="A174" s="2">
        <v>43191</v>
      </c>
      <c r="B174" s="1">
        <v>284.3</v>
      </c>
      <c r="C174" s="1">
        <v>151.69999999999999</v>
      </c>
    </row>
    <row r="175" spans="1:3" x14ac:dyDescent="0.25">
      <c r="A175" s="2">
        <v>43221</v>
      </c>
      <c r="B175" s="1">
        <v>292.8</v>
      </c>
      <c r="C175" s="1">
        <v>156.9</v>
      </c>
    </row>
    <row r="176" spans="1:3" x14ac:dyDescent="0.25">
      <c r="A176" s="2">
        <v>43252</v>
      </c>
      <c r="B176" s="1">
        <v>300.5</v>
      </c>
      <c r="C176" s="1">
        <v>154.1</v>
      </c>
    </row>
    <row r="177" spans="1:3" x14ac:dyDescent="0.25">
      <c r="A177" s="2">
        <v>43282</v>
      </c>
      <c r="B177" s="1">
        <v>307.3</v>
      </c>
      <c r="C177" s="1">
        <v>153.9</v>
      </c>
    </row>
    <row r="178" spans="1:3" x14ac:dyDescent="0.25">
      <c r="A178" s="2">
        <v>43313</v>
      </c>
      <c r="B178" s="1">
        <v>307</v>
      </c>
      <c r="C178" s="1">
        <v>153.1</v>
      </c>
    </row>
    <row r="179" spans="1:3" x14ac:dyDescent="0.25">
      <c r="A179" s="2">
        <v>43344</v>
      </c>
      <c r="B179" s="1">
        <v>307.60000000000002</v>
      </c>
      <c r="C179" s="1">
        <v>153.6</v>
      </c>
    </row>
    <row r="180" spans="1:3" x14ac:dyDescent="0.25">
      <c r="A180" s="2">
        <v>43374</v>
      </c>
      <c r="B180" s="1">
        <v>311.10000000000002</v>
      </c>
      <c r="C180" s="1">
        <v>155.30000000000001</v>
      </c>
    </row>
    <row r="181" spans="1:3" x14ac:dyDescent="0.25">
      <c r="A181" s="2">
        <v>43405</v>
      </c>
      <c r="B181" s="1">
        <v>311.8</v>
      </c>
      <c r="C181" s="1">
        <v>156.30000000000001</v>
      </c>
    </row>
    <row r="182" spans="1:3" x14ac:dyDescent="0.25">
      <c r="A182" s="2">
        <v>43435</v>
      </c>
      <c r="B182" s="1">
        <v>311.10000000000002</v>
      </c>
      <c r="C182" s="1">
        <v>154.9</v>
      </c>
    </row>
    <row r="183" spans="1:3" x14ac:dyDescent="0.25">
      <c r="A183" s="2">
        <v>43466</v>
      </c>
      <c r="B183" s="1">
        <v>313.8</v>
      </c>
      <c r="C183" s="1">
        <v>150.9</v>
      </c>
    </row>
    <row r="184" spans="1:3" x14ac:dyDescent="0.25">
      <c r="A184" s="2">
        <v>43497</v>
      </c>
      <c r="B184" s="1">
        <v>313.2</v>
      </c>
      <c r="C184" s="1">
        <v>151</v>
      </c>
    </row>
    <row r="185" spans="1:3" x14ac:dyDescent="0.25">
      <c r="A185" s="2">
        <v>43525</v>
      </c>
      <c r="B185" s="1">
        <v>314.8</v>
      </c>
      <c r="C185" s="1">
        <v>151.4</v>
      </c>
    </row>
    <row r="186" spans="1:3" x14ac:dyDescent="0.25">
      <c r="A186" s="2">
        <v>43556</v>
      </c>
      <c r="B186" s="1">
        <v>316.10000000000002</v>
      </c>
      <c r="C186" s="1">
        <v>152.1</v>
      </c>
    </row>
    <row r="187" spans="1:3" x14ac:dyDescent="0.25">
      <c r="A187" s="2">
        <v>43586</v>
      </c>
      <c r="B187" s="1">
        <v>316.89999999999998</v>
      </c>
      <c r="C187" s="1">
        <v>154.1</v>
      </c>
    </row>
    <row r="188" spans="1:3" x14ac:dyDescent="0.25">
      <c r="A188" s="2">
        <v>43617</v>
      </c>
      <c r="B188" s="1">
        <v>316</v>
      </c>
      <c r="C188" s="1">
        <v>155.1</v>
      </c>
    </row>
    <row r="189" spans="1:3" x14ac:dyDescent="0.25">
      <c r="A189" s="2">
        <v>43647</v>
      </c>
      <c r="B189" s="1">
        <v>320.39999999999998</v>
      </c>
      <c r="C189" s="1">
        <v>155.19999999999999</v>
      </c>
    </row>
    <row r="190" spans="1:3" x14ac:dyDescent="0.25">
      <c r="A190" s="2">
        <v>43678</v>
      </c>
      <c r="B190" s="1">
        <v>310.8</v>
      </c>
      <c r="C190" s="1">
        <v>154.4</v>
      </c>
    </row>
    <row r="191" spans="1:3" x14ac:dyDescent="0.25">
      <c r="A191" s="2">
        <v>43709</v>
      </c>
      <c r="B191" s="1">
        <v>311.60000000000002</v>
      </c>
      <c r="C191" s="1">
        <v>153.80000000000001</v>
      </c>
    </row>
    <row r="192" spans="1:3" x14ac:dyDescent="0.25">
      <c r="A192" s="2">
        <v>43739</v>
      </c>
      <c r="B192" s="1">
        <v>309.39999999999998</v>
      </c>
      <c r="C192" s="1">
        <v>154.30000000000001</v>
      </c>
    </row>
    <row r="193" spans="1:3" x14ac:dyDescent="0.25">
      <c r="A193" s="2">
        <v>43770</v>
      </c>
      <c r="B193" s="1">
        <v>323.7</v>
      </c>
      <c r="C193" s="1">
        <v>156.19999999999999</v>
      </c>
    </row>
    <row r="194" spans="1:3" x14ac:dyDescent="0.25">
      <c r="A194" s="2">
        <v>43800</v>
      </c>
      <c r="B194" s="1">
        <v>327.5</v>
      </c>
      <c r="C194" s="1">
        <v>157.1</v>
      </c>
    </row>
    <row r="195" spans="1:3" x14ac:dyDescent="0.25">
      <c r="A195" s="2">
        <v>43831</v>
      </c>
      <c r="B195" s="1">
        <v>327.7</v>
      </c>
      <c r="C195" s="1">
        <v>156</v>
      </c>
    </row>
    <row r="196" spans="1:3" x14ac:dyDescent="0.25">
      <c r="A196" s="2">
        <v>43862</v>
      </c>
      <c r="B196" s="1">
        <v>310.7</v>
      </c>
      <c r="C196" s="1">
        <v>155.5</v>
      </c>
    </row>
    <row r="197" spans="1:3" x14ac:dyDescent="0.25">
      <c r="A197" s="2">
        <v>43891</v>
      </c>
      <c r="B197" s="1">
        <v>308.60000000000002</v>
      </c>
      <c r="C197" s="1">
        <v>152.30000000000001</v>
      </c>
    </row>
    <row r="198" spans="1:3" x14ac:dyDescent="0.25">
      <c r="A198" s="2">
        <v>43922</v>
      </c>
      <c r="B198" s="1">
        <v>293.10000000000002</v>
      </c>
      <c r="C198" s="1">
        <v>152.4</v>
      </c>
    </row>
    <row r="199" spans="1:3" x14ac:dyDescent="0.25">
      <c r="A199" s="2">
        <v>43952</v>
      </c>
      <c r="B199" s="1">
        <v>293.2</v>
      </c>
      <c r="C199" s="1">
        <v>155.80000000000001</v>
      </c>
    </row>
    <row r="200" spans="1:3" x14ac:dyDescent="0.25">
      <c r="A200" s="2">
        <v>43983</v>
      </c>
      <c r="B200" s="1">
        <v>294</v>
      </c>
      <c r="C200" s="1">
        <v>156.19999999999999</v>
      </c>
    </row>
    <row r="201" spans="1:3" x14ac:dyDescent="0.25">
      <c r="A201" s="2">
        <v>44013</v>
      </c>
      <c r="B201" s="1">
        <v>294.8</v>
      </c>
      <c r="C201" s="1">
        <v>157.4</v>
      </c>
    </row>
    <row r="202" spans="1:3" x14ac:dyDescent="0.25">
      <c r="A202" s="2">
        <v>44044</v>
      </c>
      <c r="B202" s="1">
        <v>295</v>
      </c>
      <c r="C202" s="1">
        <v>157.9</v>
      </c>
    </row>
    <row r="203" spans="1:3" x14ac:dyDescent="0.25">
      <c r="A203" s="2">
        <v>44075</v>
      </c>
      <c r="B203" s="1">
        <v>294.39999999999998</v>
      </c>
      <c r="C203" s="1">
        <v>154.6</v>
      </c>
    </row>
    <row r="204" spans="1:3" x14ac:dyDescent="0.25">
      <c r="A204" s="2">
        <v>44105</v>
      </c>
      <c r="B204" s="1">
        <v>290.5</v>
      </c>
      <c r="C204" s="1">
        <v>153.19999999999999</v>
      </c>
    </row>
    <row r="205" spans="1:3" x14ac:dyDescent="0.25">
      <c r="A205" s="2">
        <v>44136</v>
      </c>
      <c r="B205" s="1">
        <v>287.2</v>
      </c>
      <c r="C205" s="1">
        <v>151.5</v>
      </c>
    </row>
    <row r="206" spans="1:3" x14ac:dyDescent="0.25">
      <c r="A206" s="2">
        <v>44166</v>
      </c>
      <c r="B206" s="1">
        <v>290.10000000000002</v>
      </c>
      <c r="C206" s="1">
        <v>156.9</v>
      </c>
    </row>
    <row r="207" spans="1:3" x14ac:dyDescent="0.25">
      <c r="A207" s="2">
        <v>44197</v>
      </c>
      <c r="B207" s="1">
        <v>292.5</v>
      </c>
      <c r="C207" s="1">
        <v>157.69999999999999</v>
      </c>
    </row>
    <row r="208" spans="1:3" x14ac:dyDescent="0.25">
      <c r="A208" s="2">
        <v>44228</v>
      </c>
      <c r="B208" s="1">
        <v>300.60000000000002</v>
      </c>
      <c r="C208" s="1">
        <v>157.80000000000001</v>
      </c>
    </row>
    <row r="209" spans="1:3" x14ac:dyDescent="0.25">
      <c r="A209" s="2">
        <v>44256</v>
      </c>
      <c r="B209" s="1">
        <v>306.39999999999998</v>
      </c>
      <c r="C209" s="1">
        <v>157.6</v>
      </c>
    </row>
    <row r="210" spans="1:3" x14ac:dyDescent="0.25">
      <c r="A210" s="2">
        <v>44287</v>
      </c>
      <c r="B210" s="1">
        <v>316.2</v>
      </c>
      <c r="C210" s="1">
        <v>155.4</v>
      </c>
    </row>
    <row r="211" spans="1:3" x14ac:dyDescent="0.25">
      <c r="A211" s="2">
        <v>44317</v>
      </c>
      <c r="B211" s="1">
        <v>329.9</v>
      </c>
      <c r="C211" s="1">
        <v>159.30000000000001</v>
      </c>
    </row>
    <row r="212" spans="1:3" x14ac:dyDescent="0.25">
      <c r="A212" s="2">
        <v>44348</v>
      </c>
      <c r="B212" s="1">
        <v>344.2</v>
      </c>
      <c r="C212" s="1">
        <v>163.5</v>
      </c>
    </row>
    <row r="213" spans="1:3" x14ac:dyDescent="0.25">
      <c r="A213" s="2">
        <v>44378</v>
      </c>
      <c r="B213" s="1">
        <v>347.64600000000002</v>
      </c>
      <c r="C213" s="1">
        <v>158.91999999999999</v>
      </c>
    </row>
    <row r="214" spans="1:3" x14ac:dyDescent="0.25">
      <c r="A214" s="2">
        <v>44409</v>
      </c>
      <c r="B214" s="1">
        <v>342.08699999999999</v>
      </c>
      <c r="C214" s="1">
        <v>162.44300000000001</v>
      </c>
    </row>
    <row r="215" spans="1:3" x14ac:dyDescent="0.25">
      <c r="A215" s="2">
        <v>44440</v>
      </c>
      <c r="B215" s="1">
        <v>354.38</v>
      </c>
      <c r="C215" s="1">
        <v>165.76599999999999</v>
      </c>
    </row>
    <row r="216" spans="1:3" x14ac:dyDescent="0.25">
      <c r="A216" s="2">
        <v>44470</v>
      </c>
      <c r="B216" s="1">
        <v>364.565</v>
      </c>
      <c r="C216" s="1">
        <v>172.33199999999999</v>
      </c>
    </row>
    <row r="217" spans="1:3" x14ac:dyDescent="0.25">
      <c r="A217" s="2">
        <v>44501</v>
      </c>
      <c r="B217" s="1">
        <v>361.07100000000003</v>
      </c>
      <c r="C217" s="1">
        <v>177.304</v>
      </c>
    </row>
    <row r="218" spans="1:3" x14ac:dyDescent="0.25">
      <c r="A218" s="2">
        <v>44531</v>
      </c>
      <c r="B218" s="1">
        <v>373.589</v>
      </c>
      <c r="C218" s="1">
        <v>179.68899999999999</v>
      </c>
    </row>
    <row r="219" spans="1:3" x14ac:dyDescent="0.25">
      <c r="A219" s="2">
        <v>44562</v>
      </c>
      <c r="B219" s="1">
        <v>374.96899999999999</v>
      </c>
      <c r="C219" s="1">
        <v>178.86799999999999</v>
      </c>
    </row>
    <row r="220" spans="1:3" x14ac:dyDescent="0.25">
      <c r="A220" s="2">
        <v>44593</v>
      </c>
      <c r="B220" s="1">
        <v>375.18700000000001</v>
      </c>
      <c r="C220" s="1">
        <v>176.416</v>
      </c>
    </row>
    <row r="221" spans="1:3" x14ac:dyDescent="0.25">
      <c r="A221" s="2">
        <v>44621</v>
      </c>
      <c r="B221" s="1">
        <v>364.16699999999997</v>
      </c>
      <c r="C221" s="1">
        <v>176.42400000000001</v>
      </c>
    </row>
    <row r="222" spans="1:3" x14ac:dyDescent="0.25">
      <c r="A222" s="2">
        <v>44652</v>
      </c>
      <c r="B222" s="1">
        <v>395.26799999999997</v>
      </c>
      <c r="C222" s="1">
        <v>188.60300000000001</v>
      </c>
    </row>
    <row r="223" spans="1:3" x14ac:dyDescent="0.25">
      <c r="A223" s="2">
        <v>44682</v>
      </c>
      <c r="B223" s="1">
        <v>446.983</v>
      </c>
      <c r="C223" s="1">
        <v>182.035</v>
      </c>
    </row>
    <row r="224" spans="1:3" x14ac:dyDescent="0.25">
      <c r="A224" s="2">
        <v>44713</v>
      </c>
      <c r="B224" s="1">
        <v>439.18099999999998</v>
      </c>
      <c r="C224" s="1">
        <v>184.74299999999999</v>
      </c>
    </row>
    <row r="225" spans="1:3" x14ac:dyDescent="0.25">
      <c r="A225" s="2">
        <v>44743</v>
      </c>
      <c r="B225" s="1">
        <v>454.40699999999998</v>
      </c>
      <c r="C225" s="1">
        <v>184.91399999999999</v>
      </c>
    </row>
    <row r="226" spans="1:3" x14ac:dyDescent="0.25">
      <c r="A226" s="2">
        <v>44774</v>
      </c>
      <c r="B226" s="1">
        <v>468.721</v>
      </c>
      <c r="C226" s="1">
        <v>185.834</v>
      </c>
    </row>
    <row r="227" spans="1:3" x14ac:dyDescent="0.25">
      <c r="A227" s="2">
        <v>44805</v>
      </c>
      <c r="B227" s="1">
        <v>478.26299999999998</v>
      </c>
      <c r="C227" s="1">
        <v>185.422</v>
      </c>
    </row>
    <row r="228" spans="1:3" x14ac:dyDescent="0.25">
      <c r="A228" s="2">
        <v>44835</v>
      </c>
      <c r="B228" s="1">
        <v>478.21600000000001</v>
      </c>
      <c r="C228" s="1">
        <v>179.501</v>
      </c>
    </row>
    <row r="229" spans="1:3" x14ac:dyDescent="0.25">
      <c r="A229" s="2">
        <v>44866</v>
      </c>
      <c r="B229" s="1">
        <v>471.87700000000001</v>
      </c>
      <c r="C229" s="1">
        <v>176.65899999999999</v>
      </c>
    </row>
    <row r="230" spans="1:3" x14ac:dyDescent="0.25">
      <c r="A230" s="2">
        <v>44896</v>
      </c>
      <c r="B230" s="1">
        <v>469.29</v>
      </c>
      <c r="C230" s="1">
        <v>175.52799999999999</v>
      </c>
    </row>
    <row r="231" spans="1:3" x14ac:dyDescent="0.25">
      <c r="A231" s="2">
        <v>44927</v>
      </c>
      <c r="B231" s="1">
        <v>442.59100000000001</v>
      </c>
      <c r="C231" s="1">
        <v>179.40799999999999</v>
      </c>
    </row>
    <row r="232" spans="1:3" x14ac:dyDescent="0.25">
      <c r="A232" s="2">
        <v>44958</v>
      </c>
      <c r="B232" s="1">
        <v>456.584</v>
      </c>
      <c r="C232" s="1">
        <v>186.62</v>
      </c>
    </row>
    <row r="233" spans="1:3" x14ac:dyDescent="0.25">
      <c r="A233" s="2">
        <v>44986</v>
      </c>
      <c r="B233" s="1">
        <v>412.08199999999999</v>
      </c>
      <c r="C233" s="1">
        <v>179.07400000000001</v>
      </c>
    </row>
    <row r="234" spans="1:3" x14ac:dyDescent="0.25">
      <c r="A234" s="2">
        <v>45017</v>
      </c>
      <c r="B234" s="1">
        <v>409.59899999999999</v>
      </c>
      <c r="C234" s="1">
        <v>173.81299999999999</v>
      </c>
    </row>
    <row r="235" spans="1:3" x14ac:dyDescent="0.25">
      <c r="A235" s="2">
        <v>45047</v>
      </c>
      <c r="B235" s="1">
        <v>443.79899999999998</v>
      </c>
      <c r="C235" s="1">
        <v>170.85900000000001</v>
      </c>
    </row>
    <row r="236" spans="1:3" x14ac:dyDescent="0.25">
      <c r="A236" s="2">
        <v>45078</v>
      </c>
      <c r="B236" s="1">
        <v>420.69400000000002</v>
      </c>
      <c r="C236" s="1">
        <v>163.29400000000001</v>
      </c>
    </row>
    <row r="237" spans="1:3" x14ac:dyDescent="0.25">
      <c r="A237" s="2">
        <v>45108</v>
      </c>
      <c r="B237" s="1">
        <v>446.214</v>
      </c>
      <c r="C237" s="1">
        <v>166.124</v>
      </c>
    </row>
    <row r="238" spans="1:3" x14ac:dyDescent="0.25">
      <c r="A238" s="2">
        <v>45139</v>
      </c>
      <c r="B238" s="1">
        <v>462.46199999999999</v>
      </c>
      <c r="C238" s="1">
        <v>167.24600000000001</v>
      </c>
    </row>
    <row r="239" spans="1:3" x14ac:dyDescent="0.25">
      <c r="A239" s="2">
        <v>45170</v>
      </c>
      <c r="B239" s="1">
        <v>441.863</v>
      </c>
      <c r="C239" s="1">
        <v>169.81200000000001</v>
      </c>
    </row>
    <row r="240" spans="1:3" x14ac:dyDescent="0.25">
      <c r="A240" s="2">
        <v>45200</v>
      </c>
      <c r="B240" s="1">
        <v>417.74900000000002</v>
      </c>
      <c r="C240" s="1">
        <v>177.40299999999999</v>
      </c>
    </row>
    <row r="241" spans="1:3" x14ac:dyDescent="0.25">
      <c r="A241" s="2">
        <v>45231</v>
      </c>
      <c r="B241" s="1">
        <v>404.77800000000002</v>
      </c>
      <c r="C241" s="1">
        <v>178.26599999999999</v>
      </c>
    </row>
    <row r="242" spans="1:3" x14ac:dyDescent="0.25">
      <c r="A242" s="2">
        <v>45261</v>
      </c>
      <c r="B242" s="1">
        <v>417.25400000000002</v>
      </c>
      <c r="C242" s="1">
        <v>177.14500000000001</v>
      </c>
    </row>
    <row r="243" spans="1:3" x14ac:dyDescent="0.25">
      <c r="A243" s="2">
        <v>45292</v>
      </c>
      <c r="B243" s="1">
        <v>429.26799999999997</v>
      </c>
      <c r="C243" s="1">
        <v>169.25899999999999</v>
      </c>
    </row>
    <row r="244" spans="1:3" x14ac:dyDescent="0.25">
      <c r="A244" s="2">
        <v>45323</v>
      </c>
      <c r="B244" s="1">
        <v>419.04899999999998</v>
      </c>
      <c r="C244" s="1">
        <v>169.44200000000001</v>
      </c>
    </row>
    <row r="245" spans="1:3" x14ac:dyDescent="0.25">
      <c r="A245" s="2">
        <v>45352</v>
      </c>
      <c r="B245" s="1">
        <v>407.06799999999998</v>
      </c>
      <c r="C245" s="1">
        <v>165.36600000000001</v>
      </c>
    </row>
    <row r="246" spans="1:3" x14ac:dyDescent="0.25">
      <c r="A246" s="2">
        <v>45383</v>
      </c>
      <c r="B246" s="1">
        <v>409.35899999999998</v>
      </c>
      <c r="C246" s="1">
        <v>166.85400000000001</v>
      </c>
    </row>
    <row r="247" spans="1:3" x14ac:dyDescent="0.25">
      <c r="A247" s="2">
        <v>45413</v>
      </c>
      <c r="B247" s="1">
        <v>423.50200000000001</v>
      </c>
      <c r="C247" s="1">
        <v>165.018</v>
      </c>
    </row>
    <row r="248" spans="1:3" x14ac:dyDescent="0.25">
      <c r="A248" s="2">
        <v>45444</v>
      </c>
      <c r="B248" s="1">
        <v>444.05799999999999</v>
      </c>
      <c r="C248" s="1">
        <v>164.649</v>
      </c>
    </row>
    <row r="249" spans="1:3" x14ac:dyDescent="0.25">
      <c r="A249" s="2">
        <v>45474</v>
      </c>
      <c r="B249" s="1">
        <v>449.16</v>
      </c>
      <c r="C249" s="1">
        <v>167.297</v>
      </c>
    </row>
    <row r="250" spans="1:3" x14ac:dyDescent="0.25">
      <c r="A250" s="2">
        <v>45505</v>
      </c>
      <c r="B250" s="1">
        <v>442.029</v>
      </c>
      <c r="C250" s="1">
        <v>161.41499999999999</v>
      </c>
    </row>
    <row r="251" spans="1:3" x14ac:dyDescent="0.25">
      <c r="A251" s="2">
        <v>45536</v>
      </c>
      <c r="B251" s="1">
        <v>423.226</v>
      </c>
      <c r="C251" s="1">
        <v>163.81800000000001</v>
      </c>
    </row>
    <row r="252" spans="1:3" x14ac:dyDescent="0.25">
      <c r="A252" s="2">
        <v>45566</v>
      </c>
      <c r="B252" s="1">
        <v>418.33100000000002</v>
      </c>
      <c r="C252" s="1">
        <v>168.84</v>
      </c>
    </row>
    <row r="253" spans="1:3" x14ac:dyDescent="0.25">
      <c r="A253" s="2">
        <v>45597</v>
      </c>
      <c r="B253" s="1">
        <v>405.13299999999998</v>
      </c>
      <c r="C253" s="1">
        <v>170.59700000000001</v>
      </c>
    </row>
    <row r="254" spans="1:3" x14ac:dyDescent="0.25">
      <c r="A254" s="2">
        <v>45627</v>
      </c>
      <c r="B254" s="1">
        <v>402.702</v>
      </c>
      <c r="C254" s="1">
        <v>172.78899999999999</v>
      </c>
    </row>
    <row r="255" spans="1:3" x14ac:dyDescent="0.25">
      <c r="A255" s="2">
        <v>45658</v>
      </c>
      <c r="B255" s="1">
        <v>437.69</v>
      </c>
      <c r="C255" s="1">
        <v>170.2</v>
      </c>
    </row>
    <row r="256" spans="1:3" x14ac:dyDescent="0.25">
      <c r="A256" s="2">
        <v>45689</v>
      </c>
      <c r="B256" s="1">
        <v>447.05</v>
      </c>
      <c r="C256" s="1">
        <v>168.88800000000001</v>
      </c>
    </row>
    <row r="257" spans="1:3" x14ac:dyDescent="0.25">
      <c r="A257" s="2">
        <v>45717</v>
      </c>
      <c r="B257" s="1">
        <v>424.81400000000002</v>
      </c>
      <c r="C257" s="1">
        <v>168.904</v>
      </c>
    </row>
    <row r="258" spans="1:3" x14ac:dyDescent="0.25">
      <c r="A258" s="2">
        <v>45748</v>
      </c>
      <c r="B258" s="1">
        <v>419.19900000000001</v>
      </c>
      <c r="C258" s="1">
        <v>171.833</v>
      </c>
    </row>
    <row r="259" spans="1:3" x14ac:dyDescent="0.25">
      <c r="A259" s="2">
        <v>45778</v>
      </c>
      <c r="B259" s="1">
        <v>408.149</v>
      </c>
      <c r="C259" s="1">
        <v>165.56399999999999</v>
      </c>
    </row>
    <row r="260" spans="1:3" x14ac:dyDescent="0.25">
      <c r="A260" s="2">
        <v>45809</v>
      </c>
      <c r="B260" s="1">
        <v>413.505</v>
      </c>
      <c r="C260" s="1">
        <v>167.32300000000001</v>
      </c>
    </row>
    <row r="261" spans="1:3" x14ac:dyDescent="0.25">
      <c r="A261" s="2">
        <v>45839</v>
      </c>
      <c r="B261" s="1">
        <v>401.08</v>
      </c>
      <c r="C261" s="1">
        <v>173.77600000000001</v>
      </c>
    </row>
    <row r="262" spans="1:3" x14ac:dyDescent="0.25">
      <c r="A262" s="2">
        <v>45870</v>
      </c>
      <c r="B262" s="1">
        <v>401.30799999999999</v>
      </c>
      <c r="C262" s="1">
        <v>171.327</v>
      </c>
    </row>
    <row r="263" spans="1:3" x14ac:dyDescent="0.25">
      <c r="A263" s="2">
        <v>45901</v>
      </c>
      <c r="B263" s="1">
        <v>399.39</v>
      </c>
      <c r="C263" s="1">
        <v>171.846</v>
      </c>
    </row>
    <row r="264" spans="1:3" x14ac:dyDescent="0.25">
      <c r="A264" s="2">
        <v>45931</v>
      </c>
      <c r="B264" s="1">
        <v>429.77800000000002</v>
      </c>
      <c r="C264" s="1">
        <v>173.55500000000001</v>
      </c>
    </row>
    <row r="265" spans="1:3" x14ac:dyDescent="0.25">
      <c r="A265" s="2">
        <v>45962</v>
      </c>
      <c r="B265" s="1">
        <v>411.42</v>
      </c>
      <c r="C265" s="1">
        <v>172.69399999999999</v>
      </c>
    </row>
    <row r="266" spans="1:3" x14ac:dyDescent="0.25">
      <c r="A266" s="2">
        <v>45992</v>
      </c>
      <c r="B266" s="1">
        <v>425.72199999999998</v>
      </c>
      <c r="C266" s="1">
        <v>177.631</v>
      </c>
    </row>
    <row r="267" spans="1:3" x14ac:dyDescent="0.25">
      <c r="A267" s="2">
        <v>46023</v>
      </c>
      <c r="B267" s="1">
        <v>430.68900000000002</v>
      </c>
      <c r="C267" s="1">
        <v>177.73599999999999</v>
      </c>
    </row>
    <row r="268" spans="1:3" x14ac:dyDescent="0.25">
      <c r="A268" s="2">
        <v>46054</v>
      </c>
      <c r="B268" s="1">
        <v>430.22899999999998</v>
      </c>
      <c r="C268" s="1">
        <v>175.00800000000001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B73B-2E60-495B-83EA-4E16D1460412}">
  <dimension ref="B2:BE28"/>
  <sheetViews>
    <sheetView showGridLines="0" topLeftCell="F1" zoomScale="115" zoomScaleNormal="115" workbookViewId="0">
      <selection activeCell="Q23" sqref="Q23"/>
    </sheetView>
  </sheetViews>
  <sheetFormatPr defaultColWidth="12" defaultRowHeight="15" x14ac:dyDescent="0.25"/>
  <cols>
    <col min="2" max="2" width="11.28515625" bestFit="1" customWidth="1"/>
    <col min="3" max="3" width="16.5703125" bestFit="1" customWidth="1"/>
    <col min="4" max="4" width="15.85546875" bestFit="1" customWidth="1"/>
    <col min="5" max="5" width="18" bestFit="1" customWidth="1"/>
    <col min="7" max="7" width="18.28515625" bestFit="1" customWidth="1"/>
    <col min="8" max="8" width="16.28515625" bestFit="1" customWidth="1"/>
    <col min="9" max="31" width="5.5703125" bestFit="1" customWidth="1"/>
    <col min="32" max="32" width="11.28515625" bestFit="1" customWidth="1"/>
    <col min="33" max="33" width="15.140625" bestFit="1" customWidth="1"/>
    <col min="34" max="34" width="15.7109375" bestFit="1" customWidth="1"/>
    <col min="35" max="35" width="15.140625" bestFit="1" customWidth="1"/>
    <col min="36" max="36" width="15.7109375" bestFit="1" customWidth="1"/>
    <col min="37" max="37" width="15.140625" bestFit="1" customWidth="1"/>
    <col min="38" max="38" width="15.7109375" bestFit="1" customWidth="1"/>
    <col min="39" max="39" width="15.140625" bestFit="1" customWidth="1"/>
    <col min="40" max="40" width="15.7109375" bestFit="1" customWidth="1"/>
    <col min="41" max="41" width="15.140625" bestFit="1" customWidth="1"/>
    <col min="42" max="42" width="15.7109375" bestFit="1" customWidth="1"/>
    <col min="43" max="43" width="15.140625" bestFit="1" customWidth="1"/>
    <col min="44" max="44" width="15.7109375" bestFit="1" customWidth="1"/>
    <col min="45" max="45" width="15.140625" bestFit="1" customWidth="1"/>
    <col min="46" max="46" width="15.7109375" bestFit="1" customWidth="1"/>
    <col min="47" max="47" width="15.140625" bestFit="1" customWidth="1"/>
    <col min="48" max="48" width="15.7109375" bestFit="1" customWidth="1"/>
    <col min="49" max="49" width="15.140625" bestFit="1" customWidth="1"/>
    <col min="50" max="50" width="15.7109375" bestFit="1" customWidth="1"/>
    <col min="51" max="51" width="15.140625" bestFit="1" customWidth="1"/>
    <col min="52" max="52" width="15.7109375" bestFit="1" customWidth="1"/>
    <col min="53" max="53" width="15.140625" bestFit="1" customWidth="1"/>
    <col min="54" max="54" width="15.7109375" bestFit="1" customWidth="1"/>
    <col min="55" max="55" width="15.140625" bestFit="1" customWidth="1"/>
    <col min="56" max="56" width="20.7109375" bestFit="1" customWidth="1"/>
    <col min="57" max="57" width="20.140625" bestFit="1" customWidth="1"/>
  </cols>
  <sheetData>
    <row r="2" spans="2:57" x14ac:dyDescent="0.25">
      <c r="G2" s="12" t="s">
        <v>0</v>
      </c>
      <c r="H2" s="10" t="s" vm="1">
        <v>38</v>
      </c>
    </row>
    <row r="3" spans="2:57" s="4" customFormat="1" x14ac:dyDescent="0.25">
      <c r="B3" s="3" t="s">
        <v>7</v>
      </c>
      <c r="C3" s="4" t="s">
        <v>5</v>
      </c>
      <c r="D3" s="4" t="s">
        <v>6</v>
      </c>
      <c r="E3" s="4" t="s">
        <v>39</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row>
    <row r="4" spans="2:57" x14ac:dyDescent="0.25">
      <c r="B4" s="1">
        <v>2003</v>
      </c>
      <c r="C4" s="5">
        <v>228.6</v>
      </c>
      <c r="D4" s="5">
        <v>100</v>
      </c>
      <c r="E4" s="5">
        <v>2.286</v>
      </c>
      <c r="G4" s="13" t="s">
        <v>4</v>
      </c>
      <c r="H4" s="13" t="s">
        <v>37</v>
      </c>
      <c r="I4" s="14"/>
      <c r="J4" s="14"/>
      <c r="K4" s="14"/>
      <c r="L4" s="14"/>
      <c r="M4" s="14"/>
      <c r="N4" s="14"/>
      <c r="O4" s="14"/>
      <c r="P4" s="14"/>
      <c r="Q4" s="14"/>
      <c r="R4" s="14"/>
      <c r="S4" s="14"/>
      <c r="T4" s="14"/>
      <c r="U4" s="14"/>
      <c r="V4" s="14"/>
      <c r="W4" s="14"/>
      <c r="X4" s="14"/>
      <c r="Y4" s="14"/>
      <c r="Z4" s="14"/>
      <c r="AA4" s="14"/>
      <c r="AB4" s="14"/>
      <c r="AC4" s="14"/>
      <c r="AD4" s="14"/>
      <c r="AE4" s="14"/>
    </row>
    <row r="5" spans="2:57" x14ac:dyDescent="0.25">
      <c r="B5" s="1">
        <v>2004</v>
      </c>
      <c r="C5" s="5">
        <v>230.78333333333333</v>
      </c>
      <c r="D5" s="5">
        <v>100.19166666666666</v>
      </c>
      <c r="E5" s="5">
        <v>2.3034184479747153</v>
      </c>
      <c r="G5" s="15" t="s">
        <v>24</v>
      </c>
      <c r="H5" s="16">
        <v>2003</v>
      </c>
      <c r="I5" s="16">
        <v>2004</v>
      </c>
      <c r="J5" s="16">
        <v>2005</v>
      </c>
      <c r="K5" s="16">
        <v>2006</v>
      </c>
      <c r="L5" s="16">
        <v>2007</v>
      </c>
      <c r="M5" s="16">
        <v>2008</v>
      </c>
      <c r="N5" s="16">
        <v>2009</v>
      </c>
      <c r="O5" s="16">
        <v>2010</v>
      </c>
      <c r="P5" s="16">
        <v>2011</v>
      </c>
      <c r="Q5" s="16">
        <v>2012</v>
      </c>
      <c r="R5" s="16">
        <v>2013</v>
      </c>
      <c r="S5" s="16">
        <v>2014</v>
      </c>
      <c r="T5" s="16">
        <v>2015</v>
      </c>
      <c r="U5" s="16">
        <v>2016</v>
      </c>
      <c r="V5" s="16">
        <v>2017</v>
      </c>
      <c r="W5" s="16">
        <v>2018</v>
      </c>
      <c r="X5" s="16">
        <v>2019</v>
      </c>
      <c r="Y5" s="16">
        <v>2020</v>
      </c>
      <c r="Z5" s="16">
        <v>2021</v>
      </c>
      <c r="AA5" s="16">
        <v>2022</v>
      </c>
      <c r="AB5" s="16">
        <v>2023</v>
      </c>
      <c r="AC5" s="16">
        <v>2024</v>
      </c>
      <c r="AD5" s="16">
        <v>2025</v>
      </c>
      <c r="AE5" s="16">
        <v>2026</v>
      </c>
    </row>
    <row r="6" spans="2:57" x14ac:dyDescent="0.25">
      <c r="B6" s="1">
        <v>2005</v>
      </c>
      <c r="C6" s="5">
        <v>236.91666666666666</v>
      </c>
      <c r="D6" s="5">
        <v>104.93333333333334</v>
      </c>
      <c r="E6" s="5">
        <v>2.257782719186785</v>
      </c>
      <c r="G6" s="14" t="s">
        <v>25</v>
      </c>
      <c r="H6" s="14"/>
      <c r="I6" s="14">
        <v>2.2197044334975371</v>
      </c>
      <c r="J6" s="14">
        <v>2.3195673549655851</v>
      </c>
      <c r="K6" s="14">
        <v>2.1920222634508351</v>
      </c>
      <c r="L6" s="14">
        <v>2.2151543498596817</v>
      </c>
      <c r="M6" s="14">
        <v>2.0558899398108341</v>
      </c>
      <c r="N6" s="14">
        <v>1.876959247648903</v>
      </c>
      <c r="O6" s="14">
        <v>1.8464598249801112</v>
      </c>
      <c r="P6" s="14">
        <v>1.9235905044510384</v>
      </c>
      <c r="Q6" s="14">
        <v>1.5756600128782998</v>
      </c>
      <c r="R6" s="14">
        <v>1.6385156749840051</v>
      </c>
      <c r="S6" s="14">
        <v>1.7075651621106167</v>
      </c>
      <c r="T6" s="14">
        <v>1.7617783676177838</v>
      </c>
      <c r="U6" s="14">
        <v>1.5788795878943978</v>
      </c>
      <c r="V6" s="14">
        <v>1.7165458141067897</v>
      </c>
      <c r="W6" s="14">
        <v>1.8486842105263157</v>
      </c>
      <c r="X6" s="14">
        <v>2.0795228628230618</v>
      </c>
      <c r="Y6" s="14">
        <v>2.1006410256410257</v>
      </c>
      <c r="Z6" s="14">
        <v>1.8547875713379836</v>
      </c>
      <c r="AA6" s="14">
        <v>2.0963447905718184</v>
      </c>
      <c r="AB6" s="14">
        <v>2.4669524212967096</v>
      </c>
      <c r="AC6" s="14">
        <v>2.5361605586704399</v>
      </c>
      <c r="AD6" s="14">
        <v>2.5716216216216217</v>
      </c>
      <c r="AE6" s="14">
        <v>2.4231950758428233</v>
      </c>
    </row>
    <row r="7" spans="2:57" x14ac:dyDescent="0.25">
      <c r="B7" s="1">
        <v>2006</v>
      </c>
      <c r="C7" s="5">
        <v>238.33333333333334</v>
      </c>
      <c r="D7" s="5">
        <v>108.41666666666667</v>
      </c>
      <c r="E7" s="5">
        <v>2.1983089930822444</v>
      </c>
      <c r="G7" s="14" t="s">
        <v>26</v>
      </c>
      <c r="H7" s="14"/>
      <c r="I7" s="14">
        <v>2.2417910447761193</v>
      </c>
      <c r="J7" s="14">
        <v>2.3166175024582105</v>
      </c>
      <c r="K7" s="14">
        <v>2.1767955801104972</v>
      </c>
      <c r="L7" s="14">
        <v>2.1952830188679244</v>
      </c>
      <c r="M7" s="14">
        <v>2.0549828178694156</v>
      </c>
      <c r="N7" s="14">
        <v>1.8616504854368932</v>
      </c>
      <c r="O7" s="14">
        <v>1.8100386100386101</v>
      </c>
      <c r="P7" s="14">
        <v>1.9315169366715759</v>
      </c>
      <c r="Q7" s="14">
        <v>1.5917843388960204</v>
      </c>
      <c r="R7" s="14">
        <v>1.6297953964194374</v>
      </c>
      <c r="S7" s="14">
        <v>1.7052832590706555</v>
      </c>
      <c r="T7" s="14">
        <v>1.8128732581287326</v>
      </c>
      <c r="U7" s="14">
        <v>1.5706840390879477</v>
      </c>
      <c r="V7" s="14">
        <v>1.7728494623655913</v>
      </c>
      <c r="W7" s="14">
        <v>1.8452459016393441</v>
      </c>
      <c r="X7" s="14">
        <v>2.0741721854304633</v>
      </c>
      <c r="Y7" s="14">
        <v>1.9980707395498392</v>
      </c>
      <c r="Z7" s="14">
        <v>1.9049429657794676</v>
      </c>
      <c r="AA7" s="14">
        <v>2.1267175312896791</v>
      </c>
      <c r="AB7" s="14">
        <v>2.4465973636266209</v>
      </c>
      <c r="AC7" s="14">
        <v>2.4731117432513776</v>
      </c>
      <c r="AD7" s="14">
        <v>2.6470205106342664</v>
      </c>
      <c r="AE7" s="14">
        <v>2.458339047357835</v>
      </c>
    </row>
    <row r="8" spans="2:57" x14ac:dyDescent="0.25">
      <c r="B8" s="1">
        <v>2007</v>
      </c>
      <c r="C8" s="5">
        <v>234.93333333333331</v>
      </c>
      <c r="D8" s="5">
        <v>109.03333333333335</v>
      </c>
      <c r="E8" s="5">
        <v>2.1546927545093237</v>
      </c>
      <c r="G8" s="14" t="s">
        <v>27</v>
      </c>
      <c r="H8" s="14"/>
      <c r="I8" s="14">
        <v>2.3237704918032791</v>
      </c>
      <c r="J8" s="14">
        <v>2.318982387475538</v>
      </c>
      <c r="K8" s="14">
        <v>2.1678700361010832</v>
      </c>
      <c r="L8" s="14">
        <v>2.1971698113207547</v>
      </c>
      <c r="M8" s="14">
        <v>2.0352053646269908</v>
      </c>
      <c r="N8" s="14">
        <v>1.9378151260504202</v>
      </c>
      <c r="O8" s="14">
        <v>1.8114374034003091</v>
      </c>
      <c r="P8" s="14">
        <v>1.9160142348754448</v>
      </c>
      <c r="Q8" s="14">
        <v>1.6466069142125481</v>
      </c>
      <c r="R8" s="14">
        <v>1.627151051625239</v>
      </c>
      <c r="S8" s="14">
        <v>1.6932321315623022</v>
      </c>
      <c r="T8" s="14">
        <v>1.8151093439363815</v>
      </c>
      <c r="U8" s="14">
        <v>1.5946299934512116</v>
      </c>
      <c r="V8" s="14">
        <v>1.7416998671978754</v>
      </c>
      <c r="W8" s="14">
        <v>1.8173014848289217</v>
      </c>
      <c r="X8" s="14">
        <v>2.0792602377807134</v>
      </c>
      <c r="Y8" s="14">
        <v>2.0262639527248849</v>
      </c>
      <c r="Z8" s="14">
        <v>1.9441624365482233</v>
      </c>
      <c r="AA8" s="14">
        <v>2.0641579376955512</v>
      </c>
      <c r="AB8" s="14">
        <v>2.30118275126484</v>
      </c>
      <c r="AC8" s="14">
        <v>2.461618470544126</v>
      </c>
      <c r="AD8" s="14">
        <v>2.5151210154880883</v>
      </c>
      <c r="AE8" s="14"/>
    </row>
    <row r="9" spans="2:57" x14ac:dyDescent="0.25">
      <c r="B9" s="1">
        <v>2008</v>
      </c>
      <c r="C9" s="5">
        <v>263.89166666666665</v>
      </c>
      <c r="D9" s="5">
        <v>127.78333333333335</v>
      </c>
      <c r="E9" s="5">
        <v>2.0651493413329853</v>
      </c>
      <c r="G9" s="14" t="s">
        <v>28</v>
      </c>
      <c r="H9" s="14"/>
      <c r="I9" s="14">
        <v>2.3456410256410254</v>
      </c>
      <c r="J9" s="14">
        <v>2.3145631067961165</v>
      </c>
      <c r="K9" s="14">
        <v>2.2404115996258183</v>
      </c>
      <c r="L9" s="14">
        <v>2.1930320150659135</v>
      </c>
      <c r="M9" s="14">
        <v>1.9432176656151421</v>
      </c>
      <c r="N9" s="14">
        <v>1.9685641461342394</v>
      </c>
      <c r="O9" s="14">
        <v>1.8694980694980694</v>
      </c>
      <c r="P9" s="14">
        <v>1.8839471855455179</v>
      </c>
      <c r="Q9" s="14">
        <v>1.6522016592214421</v>
      </c>
      <c r="R9" s="14">
        <v>1.5932311621966795</v>
      </c>
      <c r="S9" s="14">
        <v>1.7101080737444372</v>
      </c>
      <c r="T9" s="14">
        <v>1.7833981841763944</v>
      </c>
      <c r="U9" s="14">
        <v>1.5944700460829491</v>
      </c>
      <c r="V9" s="14">
        <v>1.7702070808283235</v>
      </c>
      <c r="W9" s="14">
        <v>1.874093605800923</v>
      </c>
      <c r="X9" s="14">
        <v>2.0782380013149244</v>
      </c>
      <c r="Y9" s="14">
        <v>1.923228346456693</v>
      </c>
      <c r="Z9" s="14">
        <v>2.0347490347490345</v>
      </c>
      <c r="AA9" s="14">
        <v>2.0957672995657544</v>
      </c>
      <c r="AB9" s="14">
        <v>2.3565498553042641</v>
      </c>
      <c r="AC9" s="14">
        <v>2.4533963824661078</v>
      </c>
      <c r="AD9" s="14">
        <v>2.4395721427199666</v>
      </c>
      <c r="AE9" s="14"/>
    </row>
    <row r="10" spans="2:57" x14ac:dyDescent="0.25">
      <c r="B10" s="1">
        <v>2009</v>
      </c>
      <c r="C10" s="5">
        <v>223.56666666666669</v>
      </c>
      <c r="D10" s="5">
        <v>119.10833333333333</v>
      </c>
      <c r="E10" s="5">
        <v>1.8770027286084099</v>
      </c>
      <c r="G10" s="14" t="s">
        <v>29</v>
      </c>
      <c r="H10" s="14"/>
      <c r="I10" s="14">
        <v>2.3497435897435897</v>
      </c>
      <c r="J10" s="14">
        <v>2.2635135135135136</v>
      </c>
      <c r="K10" s="14">
        <v>2.2089825847846014</v>
      </c>
      <c r="L10" s="14">
        <v>2.1243144424131626</v>
      </c>
      <c r="M10" s="14">
        <v>2.0294345468628969</v>
      </c>
      <c r="N10" s="14">
        <v>1.7984822934232716</v>
      </c>
      <c r="O10" s="14">
        <v>1.9207082371054656</v>
      </c>
      <c r="P10" s="14">
        <v>1.8700410396716827</v>
      </c>
      <c r="Q10" s="14">
        <v>1.6570697376839409</v>
      </c>
      <c r="R10" s="14">
        <v>1.6244401791426744</v>
      </c>
      <c r="S10" s="14">
        <v>1.7112944162436547</v>
      </c>
      <c r="T10" s="14">
        <v>1.7689832689832687</v>
      </c>
      <c r="U10" s="14">
        <v>1.5762491888384167</v>
      </c>
      <c r="V10" s="14">
        <v>1.8187372708757634</v>
      </c>
      <c r="W10" s="14">
        <v>1.8661567877629064</v>
      </c>
      <c r="X10" s="14">
        <v>2.0564568462037638</v>
      </c>
      <c r="Y10" s="14">
        <v>1.881899871630295</v>
      </c>
      <c r="Z10" s="14">
        <v>2.0709353421217824</v>
      </c>
      <c r="AA10" s="14">
        <v>2.4554783420770732</v>
      </c>
      <c r="AB10" s="14">
        <v>2.5974575527189083</v>
      </c>
      <c r="AC10" s="14">
        <v>2.5663988170987406</v>
      </c>
      <c r="AD10" s="14">
        <v>2.4652037882631492</v>
      </c>
      <c r="AE10" s="14"/>
    </row>
    <row r="11" spans="2:57" x14ac:dyDescent="0.25">
      <c r="B11" s="1">
        <v>2010</v>
      </c>
      <c r="C11" s="5">
        <v>250.04999999999998</v>
      </c>
      <c r="D11" s="5">
        <v>130.20000000000002</v>
      </c>
      <c r="E11" s="5">
        <v>1.9205069124423959</v>
      </c>
      <c r="G11" s="14" t="s">
        <v>30</v>
      </c>
      <c r="H11" s="14"/>
      <c r="I11" s="14">
        <v>2.3252032520325203</v>
      </c>
      <c r="J11" s="14">
        <v>2.2687140115163147</v>
      </c>
      <c r="K11" s="14">
        <v>2.1689373297002725</v>
      </c>
      <c r="L11" s="14">
        <v>2.1160877513711149</v>
      </c>
      <c r="M11" s="14">
        <v>2.0203619909502262</v>
      </c>
      <c r="N11" s="14">
        <v>1.8405172413793103</v>
      </c>
      <c r="O11" s="14">
        <v>1.9484218629715164</v>
      </c>
      <c r="P11" s="14">
        <v>1.817391304347826</v>
      </c>
      <c r="Q11" s="14">
        <v>1.6546854942233633</v>
      </c>
      <c r="R11" s="14">
        <v>1.6173076923076923</v>
      </c>
      <c r="S11" s="14">
        <v>1.7159162967660118</v>
      </c>
      <c r="T11" s="14">
        <v>1.7375565610859731</v>
      </c>
      <c r="U11" s="14">
        <v>1.6491228070175441</v>
      </c>
      <c r="V11" s="14">
        <v>1.7618421052631579</v>
      </c>
      <c r="W11" s="14">
        <v>1.9500324464633356</v>
      </c>
      <c r="X11" s="14">
        <v>2.0373952288845905</v>
      </c>
      <c r="Y11" s="14">
        <v>1.882202304737516</v>
      </c>
      <c r="Z11" s="14">
        <v>2.1051987767584097</v>
      </c>
      <c r="AA11" s="14">
        <v>2.3772538066394939</v>
      </c>
      <c r="AB11" s="14">
        <v>2.57629796563254</v>
      </c>
      <c r="AC11" s="14">
        <v>2.6969978560452841</v>
      </c>
      <c r="AD11" s="14">
        <v>2.4712980283643011</v>
      </c>
      <c r="AE11" s="14"/>
    </row>
    <row r="12" spans="2:57" x14ac:dyDescent="0.25">
      <c r="B12" s="1">
        <v>2011</v>
      </c>
      <c r="C12" s="5">
        <v>259.29166666666669</v>
      </c>
      <c r="D12" s="5">
        <v>145.91666666666666</v>
      </c>
      <c r="E12" s="5">
        <v>1.7769845802398632</v>
      </c>
      <c r="G12" s="14" t="s">
        <v>31</v>
      </c>
      <c r="H12" s="14"/>
      <c r="I12" s="14">
        <v>2.2760314341846759</v>
      </c>
      <c r="J12" s="14">
        <v>2.2535612535612537</v>
      </c>
      <c r="K12" s="14">
        <v>2.1401617250673852</v>
      </c>
      <c r="L12" s="14">
        <v>2.1608775137111516</v>
      </c>
      <c r="M12" s="14">
        <v>2.0550113036925395</v>
      </c>
      <c r="N12" s="14">
        <v>1.8453608247422681</v>
      </c>
      <c r="O12" s="14">
        <v>2.0038520801232664</v>
      </c>
      <c r="P12" s="14">
        <v>1.747311827956989</v>
      </c>
      <c r="Q12" s="14">
        <v>1.6574372182871859</v>
      </c>
      <c r="R12" s="14">
        <v>1.6217252396166135</v>
      </c>
      <c r="S12" s="14">
        <v>1.7028571428571428</v>
      </c>
      <c r="T12" s="14">
        <v>1.7727882037533513</v>
      </c>
      <c r="U12" s="14">
        <v>1.5771986970684038</v>
      </c>
      <c r="V12" s="14">
        <v>1.8034759358288772</v>
      </c>
      <c r="W12" s="14">
        <v>1.9967511371020144</v>
      </c>
      <c r="X12" s="14">
        <v>2.0644329896907219</v>
      </c>
      <c r="Y12" s="14">
        <v>1.8729351969504446</v>
      </c>
      <c r="Z12" s="14">
        <v>2.1875534860307075</v>
      </c>
      <c r="AA12" s="14">
        <v>2.4573964113047149</v>
      </c>
      <c r="AB12" s="14">
        <v>2.6860297127446966</v>
      </c>
      <c r="AC12" s="14">
        <v>2.6848060634679642</v>
      </c>
      <c r="AD12" s="14">
        <v>2.3080287266365893</v>
      </c>
      <c r="AE12" s="14"/>
    </row>
    <row r="13" spans="2:57" x14ac:dyDescent="0.25">
      <c r="B13" s="1">
        <v>2012</v>
      </c>
      <c r="C13" s="5">
        <v>255.26666666666665</v>
      </c>
      <c r="D13" s="5">
        <v>155.84166666666667</v>
      </c>
      <c r="E13" s="5">
        <v>1.6379872734078391</v>
      </c>
      <c r="G13" s="14" t="s">
        <v>32</v>
      </c>
      <c r="H13" s="14"/>
      <c r="I13" s="14">
        <v>2.2858546168958744</v>
      </c>
      <c r="J13" s="14">
        <v>2.2457466918714557</v>
      </c>
      <c r="K13" s="14">
        <v>2.2096474953617808</v>
      </c>
      <c r="L13" s="14">
        <v>2.1608775137111516</v>
      </c>
      <c r="M13" s="14">
        <v>2.1086637298091042</v>
      </c>
      <c r="N13" s="14">
        <v>1.8609442060085837</v>
      </c>
      <c r="O13" s="14">
        <v>2.0023094688221712</v>
      </c>
      <c r="P13" s="14">
        <v>1.7039030955585464</v>
      </c>
      <c r="Q13" s="14">
        <v>1.6632324533161622</v>
      </c>
      <c r="R13" s="14">
        <v>1.6179846938775508</v>
      </c>
      <c r="S13" s="14">
        <v>1.7050222504767958</v>
      </c>
      <c r="T13" s="14">
        <v>1.7713517148621385</v>
      </c>
      <c r="U13" s="14">
        <v>1.628722700198544</v>
      </c>
      <c r="V13" s="14">
        <v>1.7952127659574468</v>
      </c>
      <c r="W13" s="14">
        <v>2.0052253429131288</v>
      </c>
      <c r="X13" s="14">
        <v>2.0129533678756477</v>
      </c>
      <c r="Y13" s="14">
        <v>1.8682710576314123</v>
      </c>
      <c r="Z13" s="14">
        <v>2.1058894504533896</v>
      </c>
      <c r="AA13" s="14">
        <v>2.5222564223984847</v>
      </c>
      <c r="AB13" s="14">
        <v>2.7651603027875105</v>
      </c>
      <c r="AC13" s="14">
        <v>2.7384629681256389</v>
      </c>
      <c r="AD13" s="14">
        <v>2.3423511764053533</v>
      </c>
      <c r="AE13" s="14"/>
    </row>
    <row r="14" spans="2:57" x14ac:dyDescent="0.25">
      <c r="B14" s="1">
        <v>2013</v>
      </c>
      <c r="C14" s="5">
        <v>254.54999999999998</v>
      </c>
      <c r="D14" s="5">
        <v>156.73333333333332</v>
      </c>
      <c r="E14" s="5">
        <v>1.624096129306678</v>
      </c>
      <c r="G14" s="14" t="s">
        <v>33</v>
      </c>
      <c r="H14" s="14"/>
      <c r="I14" s="14">
        <v>2.3064833005893912</v>
      </c>
      <c r="J14" s="14">
        <v>2.2254443405051449</v>
      </c>
      <c r="K14" s="14">
        <v>2.2066728452270619</v>
      </c>
      <c r="L14" s="14">
        <v>2.1569343065693434</v>
      </c>
      <c r="M14" s="14">
        <v>2.1744011976047903</v>
      </c>
      <c r="N14" s="14">
        <v>1.8868894601542414</v>
      </c>
      <c r="O14" s="14">
        <v>2.0030792917628943</v>
      </c>
      <c r="P14" s="14">
        <v>1.6898861352980576</v>
      </c>
      <c r="Q14" s="14">
        <v>1.6521181001283693</v>
      </c>
      <c r="R14" s="14">
        <v>1.6208651399491096</v>
      </c>
      <c r="S14" s="14">
        <v>1.7020330368487926</v>
      </c>
      <c r="T14" s="14">
        <v>1.775636613902271</v>
      </c>
      <c r="U14" s="14">
        <v>1.6538978494623655</v>
      </c>
      <c r="V14" s="14">
        <v>1.7883597883597884</v>
      </c>
      <c r="W14" s="14">
        <v>2.002604166666667</v>
      </c>
      <c r="X14" s="14">
        <v>2.0260078023407022</v>
      </c>
      <c r="Y14" s="14">
        <v>1.9042690815006467</v>
      </c>
      <c r="Z14" s="14">
        <v>2.1378328487144529</v>
      </c>
      <c r="AA14" s="14">
        <v>2.5793217633290548</v>
      </c>
      <c r="AB14" s="14">
        <v>2.6020717028242997</v>
      </c>
      <c r="AC14" s="14">
        <v>2.5835134112246516</v>
      </c>
      <c r="AD14" s="14">
        <v>2.3241157780803743</v>
      </c>
      <c r="AE14" s="14"/>
    </row>
    <row r="15" spans="2:57" x14ac:dyDescent="0.25">
      <c r="B15" s="1">
        <v>2014</v>
      </c>
      <c r="C15" s="5">
        <v>268.18333333333334</v>
      </c>
      <c r="D15" s="5">
        <v>157.03333333333333</v>
      </c>
      <c r="E15" s="5">
        <v>1.7078115049883253</v>
      </c>
      <c r="G15" s="14" t="s">
        <v>34</v>
      </c>
      <c r="H15" s="14"/>
      <c r="I15" s="14">
        <v>2.3293650793650795</v>
      </c>
      <c r="J15" s="14">
        <v>2.195571955719557</v>
      </c>
      <c r="K15" s="14">
        <v>2.223671947809879</v>
      </c>
      <c r="L15" s="14">
        <v>2.1420863309352516</v>
      </c>
      <c r="M15" s="14">
        <v>2.175171363290175</v>
      </c>
      <c r="N15" s="14">
        <v>1.9074550128534704</v>
      </c>
      <c r="O15" s="14">
        <v>1.9501510574018126</v>
      </c>
      <c r="P15" s="14">
        <v>1.6405622489959839</v>
      </c>
      <c r="Q15" s="14">
        <v>1.6278026905829597</v>
      </c>
      <c r="R15" s="14">
        <v>1.6185632549268911</v>
      </c>
      <c r="S15" s="14">
        <v>1.7034438775510203</v>
      </c>
      <c r="T15" s="14">
        <v>1.6931147540983607</v>
      </c>
      <c r="U15" s="14">
        <v>1.7207572684246111</v>
      </c>
      <c r="V15" s="14">
        <v>1.7865691489361701</v>
      </c>
      <c r="W15" s="14">
        <v>2.0032195750160979</v>
      </c>
      <c r="X15" s="14">
        <v>2.0051847051198961</v>
      </c>
      <c r="Y15" s="14">
        <v>1.8962140992167102</v>
      </c>
      <c r="Z15" s="14">
        <v>2.1154805839890445</v>
      </c>
      <c r="AA15" s="14">
        <v>2.6641411468459784</v>
      </c>
      <c r="AB15" s="14">
        <v>2.3548023426886808</v>
      </c>
      <c r="AC15" s="14">
        <v>2.4776770907367922</v>
      </c>
      <c r="AD15" s="14">
        <v>2.4763216271498947</v>
      </c>
      <c r="AE15" s="14"/>
    </row>
    <row r="16" spans="2:57" x14ac:dyDescent="0.25">
      <c r="B16" s="1">
        <v>2015</v>
      </c>
      <c r="C16" s="5">
        <v>264.82499999999999</v>
      </c>
      <c r="D16" s="5">
        <v>151.41666666666666</v>
      </c>
      <c r="E16" s="5">
        <v>1.7489818381948268</v>
      </c>
      <c r="G16" s="14" t="s">
        <v>35</v>
      </c>
      <c r="H16" s="14"/>
      <c r="I16" s="14">
        <v>2.3382936507936507</v>
      </c>
      <c r="J16" s="14">
        <v>2.1944700460829494</v>
      </c>
      <c r="K16" s="14">
        <v>2.2296157450796628</v>
      </c>
      <c r="L16" s="14">
        <v>2.1579908675799087</v>
      </c>
      <c r="M16" s="14">
        <v>2.0810810810810811</v>
      </c>
      <c r="N16" s="14">
        <v>1.8610648918469217</v>
      </c>
      <c r="O16" s="14">
        <v>1.9501510574018126</v>
      </c>
      <c r="P16" s="14">
        <v>1.6686746987951808</v>
      </c>
      <c r="Q16" s="14">
        <v>1.6330981398332263</v>
      </c>
      <c r="R16" s="14">
        <v>1.6052129688493324</v>
      </c>
      <c r="S16" s="14">
        <v>1.7151125401929259</v>
      </c>
      <c r="T16" s="14">
        <v>1.6816380449141346</v>
      </c>
      <c r="U16" s="14">
        <v>1.7155346334902488</v>
      </c>
      <c r="V16" s="14">
        <v>1.8412698412698412</v>
      </c>
      <c r="W16" s="14">
        <v>1.9948816378758796</v>
      </c>
      <c r="X16" s="14">
        <v>2.0723431498079385</v>
      </c>
      <c r="Y16" s="14">
        <v>1.8957095709570957</v>
      </c>
      <c r="Z16" s="14">
        <v>2.0364515182962597</v>
      </c>
      <c r="AA16" s="14">
        <v>2.6711178032254232</v>
      </c>
      <c r="AB16" s="14">
        <v>2.2706405035172161</v>
      </c>
      <c r="AC16" s="14">
        <v>2.374795570848256</v>
      </c>
      <c r="AD16" s="14">
        <v>2.3823641817318495</v>
      </c>
      <c r="AE16" s="14"/>
    </row>
    <row r="17" spans="2:31" x14ac:dyDescent="0.25">
      <c r="B17" s="1">
        <v>2016</v>
      </c>
      <c r="C17" s="5">
        <v>246.78333333333333</v>
      </c>
      <c r="D17" s="5">
        <v>151.45833333333334</v>
      </c>
      <c r="E17" s="5">
        <v>1.6293810178817054</v>
      </c>
      <c r="G17" s="14" t="s">
        <v>36</v>
      </c>
      <c r="H17" s="14">
        <v>2.286</v>
      </c>
      <c r="I17" s="14">
        <v>2.3040078201368526</v>
      </c>
      <c r="J17" s="14">
        <v>2.1899907321594068</v>
      </c>
      <c r="K17" s="14">
        <v>2.2193064667291473</v>
      </c>
      <c r="L17" s="14">
        <v>2.0476603119584054</v>
      </c>
      <c r="M17" s="14">
        <v>2.0354938271604941</v>
      </c>
      <c r="N17" s="14">
        <v>1.8786367414796343</v>
      </c>
      <c r="O17" s="14">
        <v>1.9254287844891871</v>
      </c>
      <c r="P17" s="14">
        <v>1.5801033591731264</v>
      </c>
      <c r="Q17" s="14">
        <v>1.6439588688946016</v>
      </c>
      <c r="R17" s="14">
        <v>1.6743002544529262</v>
      </c>
      <c r="S17" s="14">
        <v>1.7222222222222223</v>
      </c>
      <c r="T17" s="14">
        <v>1.6170906718851923</v>
      </c>
      <c r="U17" s="14">
        <v>1.7009222661396572</v>
      </c>
      <c r="V17" s="14">
        <v>1.8215931533903882</v>
      </c>
      <c r="W17" s="14">
        <v>2.0083925112976115</v>
      </c>
      <c r="X17" s="14">
        <v>2.0846594525779758</v>
      </c>
      <c r="Y17" s="14">
        <v>1.8489483747609943</v>
      </c>
      <c r="Z17" s="14">
        <v>2.0790866441462752</v>
      </c>
      <c r="AA17" s="14">
        <v>2.6735905382617022</v>
      </c>
      <c r="AB17" s="14">
        <v>2.3554376358350502</v>
      </c>
      <c r="AC17" s="14">
        <v>2.3305997488266037</v>
      </c>
      <c r="AD17" s="14">
        <v>2.3966649965377664</v>
      </c>
      <c r="AE17" s="14"/>
    </row>
    <row r="18" spans="2:31" x14ac:dyDescent="0.25">
      <c r="B18" s="1">
        <v>2017</v>
      </c>
      <c r="C18" s="5">
        <v>268.43333333333334</v>
      </c>
      <c r="D18" s="5">
        <v>150.4</v>
      </c>
      <c r="E18" s="5">
        <v>1.7847960992907801</v>
      </c>
      <c r="G18" s="14" t="s">
        <v>3</v>
      </c>
      <c r="H18" s="14">
        <v>2.286</v>
      </c>
      <c r="I18" s="14">
        <v>2.3034184479747153</v>
      </c>
      <c r="J18" s="14">
        <v>2.257782719186785</v>
      </c>
      <c r="K18" s="14">
        <v>2.1983089930822444</v>
      </c>
      <c r="L18" s="14">
        <v>2.1546927545093237</v>
      </c>
      <c r="M18" s="14">
        <v>2.0651493413329853</v>
      </c>
      <c r="N18" s="14">
        <v>1.8770027286084099</v>
      </c>
      <c r="O18" s="14">
        <v>1.9205069124423959</v>
      </c>
      <c r="P18" s="14">
        <v>1.7769845802398632</v>
      </c>
      <c r="Q18" s="14">
        <v>1.6379872734078391</v>
      </c>
      <c r="R18" s="14">
        <v>1.624096129306678</v>
      </c>
      <c r="S18" s="14">
        <v>1.7078115049883253</v>
      </c>
      <c r="T18" s="14">
        <v>1.7489818381948268</v>
      </c>
      <c r="U18" s="14">
        <v>1.6293810178817054</v>
      </c>
      <c r="V18" s="14">
        <v>1.7847960992907801</v>
      </c>
      <c r="W18" s="14">
        <v>1.9345662989400823</v>
      </c>
      <c r="X18" s="14">
        <v>2.0558084091894235</v>
      </c>
      <c r="Y18" s="14">
        <v>1.9246652685917087</v>
      </c>
      <c r="Z18" s="14">
        <v>2.0496149417051113</v>
      </c>
      <c r="AA18" s="14">
        <v>2.3984625832261659</v>
      </c>
      <c r="AB18" s="14">
        <v>2.4775061941615961</v>
      </c>
      <c r="AC18" s="14">
        <v>2.5296831865256038</v>
      </c>
      <c r="AD18" s="14">
        <v>2.4441221285574524</v>
      </c>
      <c r="AE18" s="14">
        <v>2.4406311659447075</v>
      </c>
    </row>
    <row r="19" spans="2:31" x14ac:dyDescent="0.25">
      <c r="B19" s="1">
        <v>2018</v>
      </c>
      <c r="C19" s="5">
        <v>298.11666666666667</v>
      </c>
      <c r="D19" s="5">
        <v>154.1</v>
      </c>
      <c r="E19" s="5">
        <v>1.9345662989400823</v>
      </c>
    </row>
    <row r="20" spans="2:31" x14ac:dyDescent="0.25">
      <c r="B20" s="1">
        <v>2019</v>
      </c>
      <c r="C20" s="5">
        <v>316.18333333333334</v>
      </c>
      <c r="D20" s="5">
        <v>153.79999999999998</v>
      </c>
      <c r="E20" s="5">
        <v>2.0558084091894235</v>
      </c>
    </row>
    <row r="21" spans="2:31" x14ac:dyDescent="0.25">
      <c r="B21" s="1">
        <v>2020</v>
      </c>
      <c r="C21" s="5">
        <v>298.27500000000003</v>
      </c>
      <c r="D21" s="5">
        <v>154.97499999999999</v>
      </c>
      <c r="E21" s="5">
        <v>1.9246652685917087</v>
      </c>
    </row>
    <row r="22" spans="2:31" x14ac:dyDescent="0.25">
      <c r="B22" s="1">
        <v>2021</v>
      </c>
      <c r="C22" s="5">
        <v>336.09483333333333</v>
      </c>
      <c r="D22" s="5">
        <v>163.9795</v>
      </c>
      <c r="E22" s="5">
        <v>2.0496149417051113</v>
      </c>
    </row>
    <row r="23" spans="2:31" x14ac:dyDescent="0.25">
      <c r="B23" s="1">
        <v>2022</v>
      </c>
      <c r="C23" s="5">
        <v>434.71075000000002</v>
      </c>
      <c r="D23" s="5">
        <v>181.24558333333334</v>
      </c>
      <c r="E23" s="5">
        <v>2.3984625832261659</v>
      </c>
    </row>
    <row r="24" spans="2:31" x14ac:dyDescent="0.25">
      <c r="B24" s="1">
        <v>2023</v>
      </c>
      <c r="C24" s="5">
        <v>431.30574999999999</v>
      </c>
      <c r="D24" s="5">
        <v>174.08866666666665</v>
      </c>
      <c r="E24" s="5">
        <v>2.4775061941615961</v>
      </c>
    </row>
    <row r="25" spans="2:31" x14ac:dyDescent="0.25">
      <c r="B25" s="1">
        <v>2024</v>
      </c>
      <c r="C25" s="5">
        <v>422.7404166666667</v>
      </c>
      <c r="D25" s="5">
        <v>167.11199999999999</v>
      </c>
      <c r="E25" s="5">
        <v>2.5296831865256038</v>
      </c>
    </row>
    <row r="26" spans="2:31" x14ac:dyDescent="0.25">
      <c r="B26" s="1">
        <v>2025</v>
      </c>
      <c r="C26" s="5">
        <v>418.25874999999996</v>
      </c>
      <c r="D26" s="5">
        <v>171.12841666666668</v>
      </c>
      <c r="E26" s="5">
        <v>2.4441221285574524</v>
      </c>
    </row>
    <row r="27" spans="2:31" x14ac:dyDescent="0.25">
      <c r="B27" s="1">
        <v>2026</v>
      </c>
      <c r="C27" s="5">
        <v>430.459</v>
      </c>
      <c r="D27" s="5">
        <v>176.37200000000001</v>
      </c>
      <c r="E27" s="5">
        <v>2.4406311659447075</v>
      </c>
    </row>
    <row r="28" spans="2:31" x14ac:dyDescent="0.25">
      <c r="B28" s="1" t="s">
        <v>3</v>
      </c>
      <c r="C28" s="5">
        <v>294.03537078651686</v>
      </c>
      <c r="D28" s="5">
        <v>145.01683146067415</v>
      </c>
      <c r="E28" s="5">
        <v>2.0275947821012332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CDEC-8515-4C14-96D2-44A7C7AD6B8D}">
  <dimension ref="B1:T22"/>
  <sheetViews>
    <sheetView showGridLines="0" tabSelected="1" zoomScale="115" zoomScaleNormal="115" workbookViewId="0">
      <selection activeCell="R5" sqref="R5"/>
    </sheetView>
  </sheetViews>
  <sheetFormatPr defaultRowHeight="15" x14ac:dyDescent="0.25"/>
  <cols>
    <col min="1" max="1" width="4.28515625" style="19" customWidth="1"/>
    <col min="2" max="2" width="17.85546875" style="19" customWidth="1"/>
    <col min="3" max="3" width="2.42578125" style="19" customWidth="1"/>
    <col min="4" max="4" width="17.85546875" style="19" customWidth="1"/>
    <col min="5" max="5" width="2.42578125" style="19" customWidth="1"/>
    <col min="6" max="6" width="17.85546875" style="19" customWidth="1"/>
    <col min="7" max="7" width="2.42578125" style="19" customWidth="1"/>
    <col min="8" max="8" width="17.85546875" style="19" customWidth="1"/>
    <col min="9" max="9" width="2.42578125" style="19" customWidth="1"/>
    <col min="10" max="10" width="17.85546875" style="19" customWidth="1"/>
    <col min="11" max="11" width="2.42578125" style="19" customWidth="1"/>
    <col min="12" max="12" width="17.85546875" style="19" customWidth="1"/>
    <col min="13" max="13" width="2.42578125" style="19" customWidth="1"/>
    <col min="14" max="14" width="17.85546875" style="19" customWidth="1"/>
    <col min="15" max="15" width="2.42578125" style="19" customWidth="1"/>
    <col min="16" max="16" width="17.85546875" style="19" customWidth="1"/>
    <col min="17" max="17" width="6.5703125" style="19" customWidth="1"/>
    <col min="18" max="18" width="25.28515625" style="19" bestFit="1" customWidth="1"/>
    <col min="19" max="20" width="15" style="19" customWidth="1"/>
    <col min="21" max="21" width="4.28515625" style="19" customWidth="1"/>
    <col min="22" max="16384" width="9.140625" style="19"/>
  </cols>
  <sheetData>
    <row r="1" spans="2:20" ht="12" customHeight="1" x14ac:dyDescent="0.25"/>
    <row r="2" spans="2:20" ht="26.25" customHeight="1" x14ac:dyDescent="0.5">
      <c r="B2" s="35" t="s">
        <v>40</v>
      </c>
      <c r="C2" s="35"/>
      <c r="D2" s="35"/>
      <c r="E2" s="35"/>
      <c r="F2" s="35"/>
      <c r="G2" s="35"/>
      <c r="H2" s="35"/>
      <c r="I2" s="35"/>
      <c r="J2" s="35"/>
      <c r="K2" s="35"/>
      <c r="L2" s="35"/>
      <c r="M2" s="35"/>
      <c r="N2" s="35"/>
      <c r="O2" s="35"/>
      <c r="P2" s="35"/>
      <c r="Q2" s="35"/>
      <c r="R2" s="35"/>
      <c r="S2" s="35"/>
      <c r="T2" s="35"/>
    </row>
    <row r="3" spans="2:20" ht="8.25" customHeight="1" thickBot="1" x14ac:dyDescent="0.3"/>
    <row r="4" spans="2:20" s="20" customFormat="1" ht="30" customHeight="1" thickBot="1" x14ac:dyDescent="0.3">
      <c r="B4" s="37" t="s">
        <v>10</v>
      </c>
      <c r="C4" s="38"/>
      <c r="D4" s="37" t="s">
        <v>12</v>
      </c>
      <c r="E4" s="38"/>
      <c r="F4" s="37" t="s">
        <v>9</v>
      </c>
      <c r="G4" s="38"/>
      <c r="H4" s="37" t="s">
        <v>11</v>
      </c>
      <c r="I4" s="38"/>
      <c r="J4" s="37" t="s">
        <v>12</v>
      </c>
      <c r="K4" s="38"/>
      <c r="L4" s="37" t="s">
        <v>8</v>
      </c>
      <c r="M4" s="38"/>
      <c r="N4" s="37" t="s">
        <v>20</v>
      </c>
      <c r="O4" s="38"/>
      <c r="P4" s="37" t="s">
        <v>21</v>
      </c>
      <c r="Q4" s="19"/>
      <c r="R4" s="36" t="s">
        <v>41</v>
      </c>
      <c r="S4" s="36"/>
      <c r="T4" s="36"/>
    </row>
    <row r="5" spans="2:20" s="25" customFormat="1" ht="17.25" thickBot="1" x14ac:dyDescent="0.3">
      <c r="B5" s="21">
        <v>430.22899999999998</v>
      </c>
      <c r="C5" s="22"/>
      <c r="D5" s="23">
        <v>0.36069474461019446</v>
      </c>
      <c r="E5" s="22"/>
      <c r="F5" s="24">
        <v>-1.0680560682999481E-3</v>
      </c>
      <c r="H5" s="21">
        <v>175.00800000000001</v>
      </c>
      <c r="J5" s="26">
        <v>0.87426809340572442</v>
      </c>
      <c r="L5" s="24">
        <v>-1.5348606922626707E-2</v>
      </c>
      <c r="N5" s="23">
        <v>1.458339047357835</v>
      </c>
      <c r="P5" s="27">
        <v>0.61748141900795939</v>
      </c>
      <c r="Q5" s="19"/>
      <c r="R5" s="19"/>
      <c r="S5" s="19"/>
      <c r="T5" s="19"/>
    </row>
    <row r="6" spans="2:20" ht="21" customHeight="1" thickBot="1" x14ac:dyDescent="0.3">
      <c r="R6" s="6" t="s">
        <v>17</v>
      </c>
      <c r="S6" s="17">
        <f>GETPIVOTDATA("[Measures].[Blended_Increase]",$P$4)</f>
        <v>0.61748141900795939</v>
      </c>
      <c r="T6" s="18"/>
    </row>
    <row r="7" spans="2:20" ht="17.25" x14ac:dyDescent="0.25">
      <c r="R7" s="28" t="s">
        <v>13</v>
      </c>
      <c r="S7" s="29" t="s">
        <v>18</v>
      </c>
      <c r="T7" s="30" t="s">
        <v>19</v>
      </c>
    </row>
    <row r="8" spans="2:20" ht="16.5" x14ac:dyDescent="0.25">
      <c r="R8" s="31" t="s">
        <v>14</v>
      </c>
      <c r="S8" s="32">
        <v>100</v>
      </c>
      <c r="T8" s="33">
        <f>S8</f>
        <v>100</v>
      </c>
    </row>
    <row r="9" spans="2:20" ht="16.5" x14ac:dyDescent="0.25">
      <c r="R9" s="31" t="s">
        <v>15</v>
      </c>
      <c r="S9" s="32">
        <v>-20</v>
      </c>
      <c r="T9" s="33">
        <v>-20</v>
      </c>
    </row>
    <row r="10" spans="2:20" ht="16.5" x14ac:dyDescent="0.25">
      <c r="R10" s="31" t="s">
        <v>16</v>
      </c>
      <c r="S10" s="32">
        <v>-60</v>
      </c>
      <c r="T10" s="33">
        <f>S10</f>
        <v>-60</v>
      </c>
    </row>
    <row r="11" spans="2:20" ht="17.25" thickBot="1" x14ac:dyDescent="0.3">
      <c r="R11" s="31" t="s">
        <v>22</v>
      </c>
      <c r="S11" s="32">
        <v>0</v>
      </c>
      <c r="T11" s="34">
        <f>T9*S6</f>
        <v>-12.349628380159189</v>
      </c>
    </row>
    <row r="12" spans="2:20" ht="17.25" thickBot="1" x14ac:dyDescent="0.3">
      <c r="R12" s="7" t="s">
        <v>23</v>
      </c>
      <c r="S12" s="8">
        <f>SUM(S8:S11)</f>
        <v>20</v>
      </c>
      <c r="T12" s="9">
        <f>SUM(T8:T11)</f>
        <v>7.6503716198408114</v>
      </c>
    </row>
    <row r="20" ht="15" customHeight="1" x14ac:dyDescent="0.25"/>
    <row r="21" ht="15" customHeight="1" x14ac:dyDescent="0.25"/>
    <row r="22" ht="15.75" customHeight="1" x14ac:dyDescent="0.25"/>
  </sheetData>
  <mergeCells count="3">
    <mergeCell ref="S6:T6"/>
    <mergeCell ref="R4:T4"/>
    <mergeCell ref="B2:T2"/>
  </mergeCells>
  <phoneticPr fontId="6" type="noConversion"/>
  <conditionalFormatting pivot="1" sqref="L5">
    <cfRule type="cellIs" dxfId="55" priority="4" operator="greaterThan">
      <formula>0</formula>
    </cfRule>
  </conditionalFormatting>
  <conditionalFormatting pivot="1" sqref="L5">
    <cfRule type="cellIs" dxfId="54" priority="3" operator="lessThan">
      <formula>0</formula>
    </cfRule>
  </conditionalFormatting>
  <conditionalFormatting pivot="1" sqref="F5">
    <cfRule type="cellIs" dxfId="53" priority="2" operator="greaterThan">
      <formula>0</formula>
    </cfRule>
  </conditionalFormatting>
  <conditionalFormatting pivot="1" sqref="F5">
    <cfRule type="cellIs" dxfId="52" priority="1" operator="lessThan">
      <formula>0</formula>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iconSet" priority="16" id="{60F736B8-ABD9-429D-B1F9-5991280A225A}">
            <x14:iconSet iconSet="3Triangles">
              <x14:cfvo type="percent">
                <xm:f>0</xm:f>
              </x14:cfvo>
              <x14:cfvo type="percent">
                <xm:f>33</xm:f>
              </x14:cfvo>
              <x14:cfvo type="percent">
                <xm:f>67</xm:f>
              </x14:cfvo>
            </x14:iconSet>
          </x14:cfRule>
          <xm:sqref>D5</xm:sqref>
        </x14:conditionalFormatting>
        <x14:conditionalFormatting xmlns:xm="http://schemas.microsoft.com/office/excel/2006/main" pivot="1">
          <x14:cfRule type="iconSet" priority="10" id="{16986EF4-1D6E-4BEA-A66C-369C13DDFDB6}">
            <x14:iconSet iconSet="3Triangles">
              <x14:cfvo type="percent">
                <xm:f>0</xm:f>
              </x14:cfvo>
              <x14:cfvo type="percent">
                <xm:f>33</xm:f>
              </x14:cfvo>
              <x14:cfvo type="percent">
                <xm:f>67</xm:f>
              </x14:cfvo>
            </x14:iconSet>
          </x14:cfRule>
          <xm:sqref>J5</xm:sqref>
        </x14:conditionalFormatting>
        <x14:conditionalFormatting xmlns:xm="http://schemas.microsoft.com/office/excel/2006/main" pivot="1">
          <x14:cfRule type="iconSet" priority="5" id="{2F8DFD7C-DAF9-44BB-824E-642E30C003FB}">
            <x14:iconSet iconSet="3Triangles">
              <x14:cfvo type="percent">
                <xm:f>0</xm:f>
              </x14:cfvo>
              <x14:cfvo type="percent">
                <xm:f>33</xm:f>
              </x14:cfvo>
              <x14:cfvo type="percent">
                <xm:f>67</xm:f>
              </x14:cfvo>
            </x14:iconSet>
          </x14:cfRule>
          <xm:sqref>P5</xm:sqref>
        </x14:conditionalFormatting>
      </x14:conditionalFormattings>
    </ex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9909A905-6A9F-42DA-AB3F-CB3FB06B1FF2}">
  <ds:schemaRefs/>
</ds:datastoreItem>
</file>

<file path=customXml/itemProps2.xml><?xml version="1.0" encoding="utf-8"?>
<ds:datastoreItem xmlns:ds="http://schemas.openxmlformats.org/officeDocument/2006/customXml" ds:itemID="{4F62F0A1-DF64-4B9B-8105-6BE4CE74E8BC}">
  <ds:schemaRefs/>
</ds:datastoreItem>
</file>

<file path=customXml/itemProps3.xml><?xml version="1.0" encoding="utf-8"?>
<ds:datastoreItem xmlns:ds="http://schemas.openxmlformats.org/officeDocument/2006/customXml" ds:itemID="{38E6DA46-7CB0-4084-BC5F-184A9CA5B898}">
  <ds:schemaRefs/>
</ds:datastoreItem>
</file>

<file path=customXml/itemProps4.xml><?xml version="1.0" encoding="utf-8"?>
<ds:datastoreItem xmlns:ds="http://schemas.openxmlformats.org/officeDocument/2006/customXml" ds:itemID="{226F89FC-E4B3-46D4-878C-22A46AA852CF}">
  <ds:schemaRefs/>
</ds:datastoreItem>
</file>

<file path=customXml/itemProps5.xml><?xml version="1.0" encoding="utf-8"?>
<ds:datastoreItem xmlns:ds="http://schemas.openxmlformats.org/officeDocument/2006/customXml" ds:itemID="{4B2942B8-8885-4E7B-8EED-21A39CE3EB3B}">
  <ds:schemaRefs/>
</ds:datastoreItem>
</file>

<file path=customXml/itemProps6.xml><?xml version="1.0" encoding="utf-8"?>
<ds:datastoreItem xmlns:ds="http://schemas.openxmlformats.org/officeDocument/2006/customXml" ds:itemID="{CF0927BC-2B6C-43D5-BC35-BF66C646AAD2}">
  <ds:schemaRefs/>
</ds:datastoreItem>
</file>

<file path=customXml/itemProps7.xml><?xml version="1.0" encoding="utf-8"?>
<ds:datastoreItem xmlns:ds="http://schemas.openxmlformats.org/officeDocument/2006/customXml" ds:itemID="{674DCCCB-23DC-45E1-BF1E-F16E215667F9}">
  <ds:schemaRefs/>
</ds:datastoreItem>
</file>

<file path=customXml/itemProps8.xml><?xml version="1.0" encoding="utf-8"?>
<ds:datastoreItem xmlns:ds="http://schemas.openxmlformats.org/officeDocument/2006/customXml" ds:itemID="{6FC226F7-B4D6-4FD6-9751-6EBA234548B9}">
  <ds:schemaRefs/>
</ds:datastoreItem>
</file>

<file path=customXml/itemProps9.xml><?xml version="1.0" encoding="utf-8"?>
<ds:datastoreItem xmlns:ds="http://schemas.openxmlformats.org/officeDocument/2006/customXml" ds:itemID="{46A85739-328D-47CF-9BF6-DD96F14371B4}">
  <ds:schemaRefs/>
</ds:datastoreItem>
</file>

<file path=customXml/itemProps10.xml><?xml version="1.0" encoding="utf-8"?>
<ds:datastoreItem xmlns:ds="http://schemas.openxmlformats.org/officeDocument/2006/customXml" ds:itemID="{9BCCD6FC-DDF9-4EE5-AAFA-BFE3311935E6}">
  <ds:schemaRefs/>
</ds:datastoreItem>
</file>

<file path=customXml/itemProps11.xml><?xml version="1.0" encoding="utf-8"?>
<ds:datastoreItem xmlns:ds="http://schemas.openxmlformats.org/officeDocument/2006/customXml" ds:itemID="{7FBBCA53-4E18-436C-9089-F7C33206D8D5}">
  <ds:schemaRefs/>
</ds:datastoreItem>
</file>

<file path=customXml/itemProps12.xml><?xml version="1.0" encoding="utf-8"?>
<ds:datastoreItem xmlns:ds="http://schemas.openxmlformats.org/officeDocument/2006/customXml" ds:itemID="{31A84A89-575E-444A-AF34-C45764A913D0}">
  <ds:schemaRefs/>
</ds:datastoreItem>
</file>

<file path=customXml/itemProps13.xml><?xml version="1.0" encoding="utf-8"?>
<ds:datastoreItem xmlns:ds="http://schemas.openxmlformats.org/officeDocument/2006/customXml" ds:itemID="{27A48C33-E6B9-4D03-8F2E-2017284853DB}">
  <ds:schemaRefs/>
</ds:datastoreItem>
</file>

<file path=customXml/itemProps14.xml><?xml version="1.0" encoding="utf-8"?>
<ds:datastoreItem xmlns:ds="http://schemas.openxmlformats.org/officeDocument/2006/customXml" ds:itemID="{A559AC5E-5F79-4B68-BDC4-79CAB0D03893}">
  <ds:schemaRefs/>
</ds:datastoreItem>
</file>

<file path=customXml/itemProps15.xml><?xml version="1.0" encoding="utf-8"?>
<ds:datastoreItem xmlns:ds="http://schemas.openxmlformats.org/officeDocument/2006/customXml" ds:itemID="{E5686828-19D5-44AA-B701-BD10FFFF84A7}">
  <ds:schemaRefs/>
</ds:datastoreItem>
</file>

<file path=customXml/itemProps16.xml><?xml version="1.0" encoding="utf-8"?>
<ds:datastoreItem xmlns:ds="http://schemas.openxmlformats.org/officeDocument/2006/customXml" ds:itemID="{41385F27-429C-4D9E-9A65-31A672FACD89}">
  <ds:schemaRefs/>
</ds:datastoreItem>
</file>

<file path=customXml/itemProps17.xml><?xml version="1.0" encoding="utf-8"?>
<ds:datastoreItem xmlns:ds="http://schemas.openxmlformats.org/officeDocument/2006/customXml" ds:itemID="{3B864BBD-03EB-4107-905D-F74866270424}">
  <ds:schemaRefs/>
</ds:datastoreItem>
</file>

<file path=customXml/itemProps18.xml><?xml version="1.0" encoding="utf-8"?>
<ds:datastoreItem xmlns:ds="http://schemas.openxmlformats.org/officeDocument/2006/customXml" ds:itemID="{22864589-581D-4F5A-A89A-90D41C10F18C}">
  <ds:schemaRefs/>
</ds:datastoreItem>
</file>

<file path=customXml/itemProps19.xml><?xml version="1.0" encoding="utf-8"?>
<ds:datastoreItem xmlns:ds="http://schemas.openxmlformats.org/officeDocument/2006/customXml" ds:itemID="{3FA03CAB-F100-4A43-AB72-DFDEA6EBCBD5}">
  <ds:schemaRefs/>
</ds:datastoreItem>
</file>

<file path=customXml/itemProps20.xml><?xml version="1.0" encoding="utf-8"?>
<ds:datastoreItem xmlns:ds="http://schemas.openxmlformats.org/officeDocument/2006/customXml" ds:itemID="{E500362A-CC32-441B-8E8D-A735F4E1940E}">
  <ds:schemaRefs/>
</ds:datastoreItem>
</file>

<file path=customXml/itemProps21.xml><?xml version="1.0" encoding="utf-8"?>
<ds:datastoreItem xmlns:ds="http://schemas.openxmlformats.org/officeDocument/2006/customXml" ds:itemID="{38E9775E-4247-4E35-9994-93E4796FE825}">
  <ds:schemaRefs/>
</ds:datastoreItem>
</file>

<file path=customXml/itemProps22.xml><?xml version="1.0" encoding="utf-8"?>
<ds:datastoreItem xmlns:ds="http://schemas.openxmlformats.org/officeDocument/2006/customXml" ds:itemID="{3E3A1E1A-E38C-4BB4-87C8-A88888DA3E44}">
  <ds:schemaRefs/>
</ds:datastoreItem>
</file>

<file path=customXml/itemProps23.xml><?xml version="1.0" encoding="utf-8"?>
<ds:datastoreItem xmlns:ds="http://schemas.openxmlformats.org/officeDocument/2006/customXml" ds:itemID="{7BD42796-8700-450A-9C1E-136BADB44D51}">
  <ds:schemaRefs/>
</ds:datastoreItem>
</file>

<file path=customXml/itemProps24.xml><?xml version="1.0" encoding="utf-8"?>
<ds:datastoreItem xmlns:ds="http://schemas.openxmlformats.org/officeDocument/2006/customXml" ds:itemID="{B13BA7F5-363A-4130-BD63-9F22B44E052C}">
  <ds:schemaRefs/>
</ds:datastoreItem>
</file>

<file path=customXml/itemProps25.xml><?xml version="1.0" encoding="utf-8"?>
<ds:datastoreItem xmlns:ds="http://schemas.openxmlformats.org/officeDocument/2006/customXml" ds:itemID="{8A645EFE-E2D5-4563-8B7A-56AD4711D2D0}">
  <ds:schemaRefs/>
</ds:datastoreItem>
</file>

<file path=customXml/itemProps26.xml><?xml version="1.0" encoding="utf-8"?>
<ds:datastoreItem xmlns:ds="http://schemas.openxmlformats.org/officeDocument/2006/customXml" ds:itemID="{A091E4BF-214E-4F2D-819B-71D01C36A2CB}">
  <ds:schemaRefs/>
</ds:datastoreItem>
</file>

<file path=customXml/itemProps27.xml><?xml version="1.0" encoding="utf-8"?>
<ds:datastoreItem xmlns:ds="http://schemas.openxmlformats.org/officeDocument/2006/customXml" ds:itemID="{F681F4DD-CEA8-49BC-93E8-F945F7B0C02B}">
  <ds:schemaRefs/>
</ds:datastoreItem>
</file>

<file path=customXml/itemProps28.xml><?xml version="1.0" encoding="utf-8"?>
<ds:datastoreItem xmlns:ds="http://schemas.openxmlformats.org/officeDocument/2006/customXml" ds:itemID="{14582F9F-57FB-47D0-83D9-105B4E755FBB}">
  <ds:schemaRefs/>
</ds:datastoreItem>
</file>

<file path=customXml/itemProps29.xml><?xml version="1.0" encoding="utf-8"?>
<ds:datastoreItem xmlns:ds="http://schemas.openxmlformats.org/officeDocument/2006/customXml" ds:itemID="{844907FF-BFD5-459D-8513-AED3D6CCCC89}">
  <ds:schemaRefs/>
</ds:datastoreItem>
</file>

<file path=customXml/itemProps30.xml><?xml version="1.0" encoding="utf-8"?>
<ds:datastoreItem xmlns:ds="http://schemas.openxmlformats.org/officeDocument/2006/customXml" ds:itemID="{784242EB-AA38-4265-B92B-7D619CF735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Air_Freight_Index</vt:lpstr>
      <vt:lpstr>Deep_Sea_Freight_Index</vt:lpstr>
      <vt:lpstr>Supply_Chain_Index_Comparison</vt:lpstr>
      <vt:lpstr>Pivots</vt:lpstr>
      <vt:lpstr>Dasboard</vt:lpstr>
      <vt:lpstr>FreightData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SUBHABRATA SAHOO</dc:creator>
  <cp:lastModifiedBy>SUBHABRATA SAHOO</cp:lastModifiedBy>
  <dcterms:created xsi:type="dcterms:W3CDTF">2026-03-31T04:16:23Z</dcterms:created>
  <dcterms:modified xsi:type="dcterms:W3CDTF">2026-04-01T15:19:51Z</dcterms:modified>
</cp:coreProperties>
</file>